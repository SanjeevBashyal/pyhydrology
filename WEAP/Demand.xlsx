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E:\0_Python\pyhydrology\WEAP\"/>
    </mc:Choice>
  </mc:AlternateContent>
  <xr:revisionPtr revIDLastSave="0" documentId="13_ncr:1_{E27FC41E-4A56-48A9-9B23-B6D2EEA41EC4}" xr6:coauthVersionLast="47" xr6:coauthVersionMax="47" xr10:uidLastSave="{00000000-0000-0000-0000-000000000000}"/>
  <bookViews>
    <workbookView xWindow="-110" yWindow="-110" windowWidth="25820" windowHeight="14620" activeTab="2" xr2:uid="{DCD1308D-C21E-194E-BC45-95DD984597C8}"/>
  </bookViews>
  <sheets>
    <sheet name="Raw Data" sheetId="1" r:id="rId1"/>
    <sheet name="Tourists Flow" sheetId="2" r:id="rId2"/>
    <sheet name="CSV-Settlements" sheetId="4" r:id="rId3"/>
    <sheet name="CSV-tourist" sheetId="3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30" i="2" l="1"/>
  <c r="M30" i="2"/>
  <c r="N30" i="2"/>
  <c r="F31" i="2"/>
  <c r="H31" i="2"/>
  <c r="I31" i="2"/>
  <c r="J31" i="2"/>
  <c r="J32" i="2"/>
  <c r="K32" i="2"/>
  <c r="L32" i="2"/>
  <c r="M32" i="2"/>
  <c r="N32" i="2"/>
  <c r="D33" i="2"/>
  <c r="E33" i="2"/>
  <c r="F33" i="2"/>
  <c r="N33" i="2"/>
  <c r="H34" i="2"/>
  <c r="I34" i="2"/>
  <c r="J34" i="2"/>
  <c r="K34" i="2"/>
  <c r="L34" i="2"/>
  <c r="M34" i="2"/>
  <c r="N34" i="2"/>
  <c r="L35" i="2"/>
  <c r="M35" i="2"/>
  <c r="N35" i="2"/>
  <c r="F36" i="2"/>
  <c r="H36" i="2"/>
  <c r="I36" i="2"/>
  <c r="J36" i="2"/>
  <c r="J37" i="2"/>
  <c r="K37" i="2"/>
  <c r="L37" i="2"/>
  <c r="M37" i="2"/>
  <c r="N37" i="2"/>
  <c r="D38" i="2"/>
  <c r="E38" i="2"/>
  <c r="F38" i="2"/>
  <c r="N38" i="2"/>
  <c r="H39" i="2"/>
  <c r="I39" i="2"/>
  <c r="J39" i="2"/>
  <c r="K39" i="2"/>
  <c r="L39" i="2"/>
  <c r="M39" i="2"/>
  <c r="N39" i="2"/>
  <c r="L40" i="2"/>
  <c r="M40" i="2"/>
  <c r="N40" i="2"/>
  <c r="D13" i="1"/>
  <c r="E13" i="1"/>
  <c r="F13" i="1"/>
  <c r="G13" i="1"/>
  <c r="H13" i="1"/>
  <c r="I13" i="1"/>
  <c r="J13" i="1"/>
  <c r="K13" i="1"/>
  <c r="L13" i="1"/>
  <c r="M13" i="1"/>
  <c r="N13" i="1"/>
  <c r="O13" i="1"/>
  <c r="C13" i="1"/>
  <c r="N26" i="2"/>
  <c r="N31" i="2" s="1"/>
  <c r="M26" i="2"/>
  <c r="M33" i="2" s="1"/>
  <c r="L26" i="2"/>
  <c r="L33" i="2" s="1"/>
  <c r="K26" i="2"/>
  <c r="K31" i="2" s="1"/>
  <c r="J26" i="2"/>
  <c r="J35" i="2" s="1"/>
  <c r="I26" i="2"/>
  <c r="I30" i="2" s="1"/>
  <c r="H26" i="2"/>
  <c r="H30" i="2" s="1"/>
  <c r="G26" i="2"/>
  <c r="G33" i="2" s="1"/>
  <c r="F26" i="2"/>
  <c r="F30" i="2" s="1"/>
  <c r="E26" i="2"/>
  <c r="E32" i="2" s="1"/>
  <c r="D26" i="2"/>
  <c r="D37" i="2" s="1"/>
  <c r="C26" i="2"/>
  <c r="C30" i="2" s="1"/>
  <c r="O24" i="2"/>
  <c r="O23" i="2"/>
  <c r="O22" i="2"/>
  <c r="O21" i="2"/>
  <c r="O20" i="2"/>
  <c r="O19" i="2"/>
  <c r="O18" i="2"/>
  <c r="O17" i="2"/>
  <c r="O16" i="2"/>
  <c r="O15" i="2"/>
  <c r="O14" i="2"/>
  <c r="O13" i="2"/>
  <c r="O12" i="2"/>
  <c r="O11" i="2"/>
  <c r="O10" i="2"/>
  <c r="O9" i="2"/>
  <c r="O8" i="2"/>
  <c r="O7" i="2"/>
  <c r="O6" i="2"/>
  <c r="O5" i="2"/>
  <c r="C38" i="2" l="1"/>
  <c r="G36" i="2"/>
  <c r="C33" i="2"/>
  <c r="E36" i="2"/>
  <c r="D31" i="2"/>
  <c r="C36" i="2"/>
  <c r="C31" i="2"/>
  <c r="I32" i="2"/>
  <c r="D39" i="2"/>
  <c r="H37" i="2"/>
  <c r="C39" i="2"/>
  <c r="C34" i="2"/>
  <c r="F32" i="2"/>
  <c r="J30" i="2"/>
  <c r="L38" i="2"/>
  <c r="H35" i="2"/>
  <c r="D32" i="2"/>
  <c r="K38" i="2"/>
  <c r="G35" i="2"/>
  <c r="G30" i="2"/>
  <c r="N36" i="2"/>
  <c r="J33" i="2"/>
  <c r="E40" i="2"/>
  <c r="I38" i="2"/>
  <c r="M36" i="2"/>
  <c r="E35" i="2"/>
  <c r="I33" i="2"/>
  <c r="M31" i="2"/>
  <c r="E30" i="2"/>
  <c r="G34" i="2"/>
  <c r="J38" i="2"/>
  <c r="D40" i="2"/>
  <c r="H38" i="2"/>
  <c r="L36" i="2"/>
  <c r="D35" i="2"/>
  <c r="H33" i="2"/>
  <c r="L31" i="2"/>
  <c r="L41" i="2" s="1"/>
  <c r="D30" i="2"/>
  <c r="G31" i="2"/>
  <c r="E31" i="2"/>
  <c r="D36" i="2"/>
  <c r="G39" i="2"/>
  <c r="F39" i="2"/>
  <c r="F34" i="2"/>
  <c r="E39" i="2"/>
  <c r="I37" i="2"/>
  <c r="E34" i="2"/>
  <c r="D34" i="2"/>
  <c r="H32" i="2"/>
  <c r="K40" i="2"/>
  <c r="G37" i="2"/>
  <c r="K35" i="2"/>
  <c r="G32" i="2"/>
  <c r="K30" i="2"/>
  <c r="J40" i="2"/>
  <c r="F37" i="2"/>
  <c r="I40" i="2"/>
  <c r="O40" i="2" s="1"/>
  <c r="M38" i="2"/>
  <c r="E37" i="2"/>
  <c r="O37" i="2" s="1"/>
  <c r="I35" i="2"/>
  <c r="H40" i="2"/>
  <c r="G40" i="2"/>
  <c r="C37" i="2"/>
  <c r="K33" i="2"/>
  <c r="C32" i="2"/>
  <c r="F40" i="2"/>
  <c r="F35" i="2"/>
  <c r="C40" i="2"/>
  <c r="G38" i="2"/>
  <c r="K36" i="2"/>
  <c r="C35" i="2"/>
  <c r="O26" i="2"/>
  <c r="O34" i="2"/>
  <c r="N41" i="2"/>
  <c r="M41" i="2"/>
  <c r="K41" i="2"/>
  <c r="O36" i="2" l="1"/>
  <c r="O35" i="2"/>
  <c r="D41" i="2"/>
  <c r="I41" i="2"/>
  <c r="O30" i="2"/>
  <c r="C41" i="2"/>
  <c r="O31" i="2"/>
  <c r="O32" i="2"/>
  <c r="F41" i="2"/>
  <c r="O39" i="2"/>
  <c r="O33" i="2"/>
  <c r="J41" i="2"/>
  <c r="E41" i="2"/>
  <c r="H41" i="2"/>
  <c r="O38" i="2"/>
  <c r="G41" i="2"/>
  <c r="O41" i="2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Anuj Chaulagain</author>
  </authors>
  <commentList>
    <comment ref="C2" authorId="0" shapeId="0" xr:uid="{D9A9B8F2-CBD9-5E4A-89DE-456778EB8476}">
      <text>
        <r>
          <rPr>
            <b/>
            <sz val="10"/>
            <color rgb="FF000000"/>
            <rFont val="Tahoma"/>
            <family val="2"/>
          </rPr>
          <t>Anuj Chaulagain: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 xml:space="preserve">15 tourists Max
</t>
        </r>
      </text>
    </comment>
    <comment ref="C7" authorId="0" shapeId="0" xr:uid="{F727F866-F607-6148-B2EC-A826AFA8A730}">
      <text>
        <r>
          <rPr>
            <b/>
            <sz val="10"/>
            <color rgb="FF000000"/>
            <rFont val="Tahoma"/>
            <family val="2"/>
          </rPr>
          <t>Anuj Chaulagain: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 xml:space="preserve">50 tourists max
</t>
        </r>
      </text>
    </comment>
    <comment ref="C8" authorId="0" shapeId="0" xr:uid="{17818B2E-FE5A-0A40-B0C1-9632F9C1CA02}">
      <text>
        <r>
          <rPr>
            <b/>
            <sz val="10"/>
            <color rgb="FF000000"/>
            <rFont val="Tahoma"/>
            <family val="2"/>
          </rPr>
          <t>Anuj Chaulagain: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 xml:space="preserve">25
</t>
        </r>
        <r>
          <rPr>
            <sz val="10"/>
            <color rgb="FF000000"/>
            <rFont val="Tahoma"/>
            <family val="2"/>
          </rPr>
          <t xml:space="preserve"> tourists max
</t>
        </r>
      </text>
    </comment>
    <comment ref="C9" authorId="0" shapeId="0" xr:uid="{B8C45FBC-371E-CB45-8AA8-DD8589FAFFEB}">
      <text>
        <r>
          <rPr>
            <b/>
            <sz val="10"/>
            <color rgb="FF000000"/>
            <rFont val="Tahoma"/>
            <family val="2"/>
          </rPr>
          <t>Anuj Chaulagain: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 xml:space="preserve">20 tourist 
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150 at max</t>
        </r>
      </text>
    </comment>
    <comment ref="U9" authorId="0" shapeId="0" xr:uid="{A56E2B45-FE44-944A-95F9-D73A6A0D3818}">
      <text>
        <r>
          <rPr>
            <b/>
            <sz val="10"/>
            <color rgb="FF000000"/>
            <rFont val="Tahoma"/>
            <family val="2"/>
          </rPr>
          <t>Anuj Chaulagain: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 xml:space="preserve">Yamatari Khola
</t>
        </r>
      </text>
    </comment>
    <comment ref="C11" authorId="0" shapeId="0" xr:uid="{49447B03-F87A-524A-BB47-6A2967FC7C87}">
      <text>
        <r>
          <rPr>
            <b/>
            <sz val="10"/>
            <color rgb="FF000000"/>
            <rFont val="Tahoma"/>
            <family val="2"/>
          </rPr>
          <t>Anuj Chaulagain: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 xml:space="preserve"> 60 Tourists
</t>
        </r>
      </text>
    </comment>
  </commentList>
</comments>
</file>

<file path=xl/sharedStrings.xml><?xml version="1.0" encoding="utf-8"?>
<sst xmlns="http://schemas.openxmlformats.org/spreadsheetml/2006/main" count="214" uniqueCount="72">
  <si>
    <t>Location</t>
  </si>
  <si>
    <t>Phedi</t>
  </si>
  <si>
    <t>Amjilesha</t>
  </si>
  <si>
    <t>Thangem</t>
  </si>
  <si>
    <t>Syajugma</t>
  </si>
  <si>
    <t>Gyabla</t>
  </si>
  <si>
    <t>Phale</t>
  </si>
  <si>
    <t>Ghunsa</t>
  </si>
  <si>
    <t>Lyagep</t>
  </si>
  <si>
    <t>Kangpachen</t>
  </si>
  <si>
    <t>Lonak</t>
  </si>
  <si>
    <t>Altitude</t>
  </si>
  <si>
    <t>What time of the Year Crops are Grown?</t>
  </si>
  <si>
    <t>Nagari Khola Kholsi</t>
  </si>
  <si>
    <t>Chisapani Kholsi</t>
  </si>
  <si>
    <t>Syajugma Kholsi</t>
  </si>
  <si>
    <t>Gyabla Sher Kholsi</t>
  </si>
  <si>
    <t>Yangma Khola</t>
  </si>
  <si>
    <t>Yamatari Khola</t>
  </si>
  <si>
    <t>Khambachen Khola</t>
  </si>
  <si>
    <t>Water Source 
(Changes in Quantity/Time/Location)</t>
  </si>
  <si>
    <t>Ethnic Groups?</t>
  </si>
  <si>
    <t>Yes</t>
  </si>
  <si>
    <t>Sherpa</t>
  </si>
  <si>
    <t>Has Ppt Pattern Changed in Recent Years?</t>
  </si>
  <si>
    <t>Food Production lasts for ?</t>
  </si>
  <si>
    <t>Source of Electricity ?</t>
  </si>
  <si>
    <t>Source of Income</t>
  </si>
  <si>
    <t>3-4 months</t>
  </si>
  <si>
    <t>Solar</t>
  </si>
  <si>
    <t>Tourism</t>
  </si>
  <si>
    <t>2-3 month</t>
  </si>
  <si>
    <t>Micro Hydro</t>
  </si>
  <si>
    <t>Lamatar</t>
  </si>
  <si>
    <t>No. of Trekkers/Tourists in KCA</t>
  </si>
  <si>
    <t>Year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</si>
  <si>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</si>
  <si>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</si>
  <si>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</si>
  <si>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</si>
  <si>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</si>
  <si>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</si>
  <si>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</si>
  <si>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</si>
  <si>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</si>
  <si>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</si>
  <si>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</si>
  <si>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</si>
  <si>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Total Trekkers</t>
  </si>
  <si>
    <t>Average</t>
  </si>
  <si>
    <t>Ghunsa River</t>
  </si>
  <si>
    <t>2 months</t>
  </si>
  <si>
    <t>6 months</t>
  </si>
  <si>
    <t>Rai, Sherpa</t>
  </si>
  <si>
    <t>Hotels</t>
  </si>
  <si>
    <t>Human Population (200L/d)</t>
  </si>
  <si>
    <t>Mule/Cow (15L/d)</t>
  </si>
  <si>
    <t>Yak (10L/d)</t>
  </si>
  <si>
    <t>Goat (5L/d)</t>
  </si>
  <si>
    <t>Pig (5L/d)</t>
  </si>
  <si>
    <t>Chickens (0.2L/d)</t>
  </si>
  <si>
    <t>March,April,May,June,July</t>
  </si>
  <si>
    <t>April,May,June,July</t>
  </si>
  <si>
    <t>Total</t>
  </si>
  <si>
    <t>-</t>
  </si>
  <si>
    <t>Houses (100L/d)</t>
  </si>
  <si>
    <t>Hotels (500L/d)</t>
  </si>
  <si>
    <t>Schools (500L/d)</t>
  </si>
  <si>
    <t>Potato (4500 m3/ha)</t>
  </si>
  <si>
    <t>Maize (6000 m3/ha)</t>
  </si>
  <si>
    <t>Wheat  (5000 m3/ha)</t>
  </si>
  <si>
    <t>Others (Jau, Fapar)  (3000 m3/ha)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</si>
</sst>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2"/>
      <color theme="1"/>
      <name val="Aptos Narrow"/>
      <family val="2"/>
      <scheme val="minor"/>
    </font>
    <font>
      <b/>
      <sz val="11"/>
      <color theme="0"/>
      <name val="Aptos Narrow"/>
      <scheme val="minor"/>
    </font>
    <font>
      <b/>
      <sz val="11"/>
      <color theme="3"/>
      <name val="Aptos Narrow"/>
      <scheme val="minor"/>
    </font>
    <font>
      <b/>
      <sz val="11"/>
      <color theme="1"/>
      <name val="Aptos Narrow"/>
      <family val="2"/>
      <scheme val="minor"/>
    </font>
    <font>
      <b/>
      <sz val="11"/>
      <color theme="0"/>
      <name val="Times New Roman"/>
      <family val="1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  <font>
      <sz val="10"/>
      <color rgb="FF000000"/>
      <name val="Tahoma"/>
      <family val="2"/>
    </font>
    <font>
      <b/>
      <sz val="10"/>
      <color rgb="FF000000"/>
      <name val="Tahoma"/>
      <family val="2"/>
    </font>
    <font>
      <sz val="8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5" fillId="3" borderId="0" xfId="0" applyFont="1" applyFill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0" fontId="6" fillId="4" borderId="1" xfId="0" applyFont="1" applyFill="1" applyBorder="1" applyAlignment="1">
      <alignment horizontal="center" vertical="center"/>
    </xf>
    <xf numFmtId="0" fontId="0" fillId="5" borderId="1" xfId="0" applyFill="1" applyBorder="1" applyAlignment="1">
      <alignment horizontal="left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vertical="center" wrapText="1"/>
    </xf>
    <xf numFmtId="0" fontId="0" fillId="5" borderId="1" xfId="0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left" vertical="center" wrapText="1"/>
    </xf>
    <xf numFmtId="0" fontId="0" fillId="3" borderId="1" xfId="0" applyFill="1" applyBorder="1" applyAlignment="1">
      <alignment horizontal="left" vertical="center" wrapText="1"/>
    </xf>
    <xf numFmtId="0" fontId="0" fillId="3" borderId="1" xfId="0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4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D5E457-3A14-8C47-A8CA-D76D638EC4E6}">
  <dimension ref="A1:V21"/>
  <sheetViews>
    <sheetView zoomScale="75" workbookViewId="0">
      <selection sqref="A1:P12"/>
    </sheetView>
  </sheetViews>
  <sheetFormatPr defaultColWidth="10.33203125" defaultRowHeight="16" x14ac:dyDescent="0.4"/>
  <cols>
    <col min="1" max="1" width="11.5" style="9" bestFit="1" customWidth="1"/>
    <col min="2" max="2" width="7.08203125" style="9" bestFit="1" customWidth="1"/>
    <col min="3" max="3" width="8.25" style="9" customWidth="1"/>
    <col min="4" max="4" width="7.83203125" style="9" customWidth="1"/>
    <col min="5" max="5" width="8.08203125" style="9" customWidth="1"/>
    <col min="6" max="6" width="9.4140625" style="15" bestFit="1" customWidth="1"/>
    <col min="7" max="7" width="15.1640625" style="15" bestFit="1" customWidth="1"/>
    <col min="8" max="8" width="9.75" style="15" bestFit="1" customWidth="1"/>
    <col min="9" max="9" width="9.6640625" style="15" bestFit="1" customWidth="1"/>
    <col min="10" max="10" width="8.33203125" style="15" bestFit="1" customWidth="1"/>
    <col min="11" max="11" width="15" style="15" bestFit="1" customWidth="1"/>
    <col min="12" max="12" width="8.58203125" style="15" customWidth="1"/>
    <col min="13" max="13" width="7.5" style="15" customWidth="1"/>
    <col min="14" max="14" width="6" style="15" bestFit="1" customWidth="1"/>
    <col min="15" max="15" width="15" style="15" customWidth="1"/>
    <col min="16" max="16" width="32.5" style="9" bestFit="1" customWidth="1"/>
    <col min="17" max="17" width="17.33203125" style="9" bestFit="1" customWidth="1"/>
    <col min="18" max="18" width="10.1640625" style="9" bestFit="1" customWidth="1"/>
    <col min="19" max="19" width="14.6640625" style="9" bestFit="1" customWidth="1"/>
    <col min="20" max="20" width="23.5" style="9" bestFit="1" customWidth="1"/>
    <col min="21" max="21" width="11.5" style="9" bestFit="1" customWidth="1"/>
    <col min="22" max="22" width="8.83203125" style="9" bestFit="1" customWidth="1"/>
    <col min="23" max="16384" width="10.33203125" style="9"/>
  </cols>
  <sheetData>
    <row r="1" spans="1:22" ht="72.5" x14ac:dyDescent="0.4">
      <c r="A1" s="1" t="s">
        <v>0</v>
      </c>
      <c r="B1" s="1" t="s">
        <v>11</v>
      </c>
      <c r="C1" s="1" t="s">
        <v>65</v>
      </c>
      <c r="D1" s="1" t="s">
        <v>66</v>
      </c>
      <c r="E1" s="1" t="s">
        <v>67</v>
      </c>
      <c r="F1" s="1" t="s">
        <v>55</v>
      </c>
      <c r="G1" s="1" t="s">
        <v>56</v>
      </c>
      <c r="H1" s="1" t="s">
        <v>57</v>
      </c>
      <c r="I1" s="1" t="s">
        <v>58</v>
      </c>
      <c r="J1" s="1" t="s">
        <v>59</v>
      </c>
      <c r="K1" s="1" t="s">
        <v>60</v>
      </c>
      <c r="L1" s="1" t="s">
        <v>68</v>
      </c>
      <c r="M1" s="1" t="s">
        <v>69</v>
      </c>
      <c r="N1" s="1" t="s">
        <v>70</v>
      </c>
      <c r="O1" s="1" t="s">
        <v>71</v>
      </c>
      <c r="P1" s="1" t="s">
        <v>12</v>
      </c>
      <c r="Q1" s="1" t="s">
        <v>20</v>
      </c>
      <c r="R1" s="1" t="s">
        <v>24</v>
      </c>
      <c r="S1" s="1" t="s">
        <v>21</v>
      </c>
      <c r="T1" s="1" t="s">
        <v>25</v>
      </c>
      <c r="U1" s="1" t="s">
        <v>26</v>
      </c>
      <c r="V1" s="1" t="s">
        <v>27</v>
      </c>
    </row>
    <row r="2" spans="1:22" x14ac:dyDescent="0.4">
      <c r="A2" s="10" t="s">
        <v>33</v>
      </c>
      <c r="B2" s="10">
        <v>1920</v>
      </c>
      <c r="C2" s="6">
        <v>13</v>
      </c>
      <c r="D2" s="6">
        <v>1</v>
      </c>
      <c r="E2" s="6">
        <v>0</v>
      </c>
      <c r="F2" s="10">
        <v>20</v>
      </c>
      <c r="G2" s="10">
        <v>0</v>
      </c>
      <c r="H2" s="10">
        <v>0</v>
      </c>
      <c r="I2" s="10">
        <v>15</v>
      </c>
      <c r="J2" s="10">
        <v>5</v>
      </c>
      <c r="K2" s="10">
        <v>10</v>
      </c>
      <c r="L2" s="10">
        <v>3</v>
      </c>
      <c r="M2" s="10">
        <v>1</v>
      </c>
      <c r="N2" s="10">
        <v>0</v>
      </c>
      <c r="O2" s="10">
        <v>0</v>
      </c>
      <c r="P2" s="11" t="s">
        <v>61</v>
      </c>
      <c r="Q2" s="6" t="s">
        <v>50</v>
      </c>
      <c r="R2" s="6" t="s">
        <v>22</v>
      </c>
      <c r="S2" s="6" t="s">
        <v>53</v>
      </c>
      <c r="T2" s="6" t="s">
        <v>51</v>
      </c>
      <c r="U2" s="6" t="s">
        <v>29</v>
      </c>
      <c r="V2" s="6" t="s">
        <v>30</v>
      </c>
    </row>
    <row r="3" spans="1:22" x14ac:dyDescent="0.4">
      <c r="A3" s="13" t="s">
        <v>1</v>
      </c>
      <c r="B3" s="13">
        <v>2093</v>
      </c>
      <c r="C3" s="12">
        <v>1</v>
      </c>
      <c r="D3" s="12">
        <v>0</v>
      </c>
      <c r="E3" s="12">
        <v>0</v>
      </c>
      <c r="F3" s="13">
        <v>3</v>
      </c>
      <c r="G3" s="13">
        <v>0</v>
      </c>
      <c r="H3" s="13">
        <v>0</v>
      </c>
      <c r="I3" s="13">
        <v>0</v>
      </c>
      <c r="J3" s="13">
        <v>0</v>
      </c>
      <c r="K3" s="13">
        <v>0</v>
      </c>
      <c r="L3" s="13">
        <v>0.25</v>
      </c>
      <c r="M3" s="13">
        <v>0.25</v>
      </c>
      <c r="N3" s="13">
        <v>0</v>
      </c>
      <c r="O3" s="13">
        <v>0</v>
      </c>
      <c r="P3" s="7" t="s">
        <v>61</v>
      </c>
      <c r="Q3" s="12" t="s">
        <v>13</v>
      </c>
      <c r="R3" s="12" t="s">
        <v>22</v>
      </c>
      <c r="S3" s="12" t="s">
        <v>23</v>
      </c>
      <c r="T3" s="12" t="s">
        <v>28</v>
      </c>
      <c r="U3" s="12" t="s">
        <v>29</v>
      </c>
      <c r="V3" s="12" t="s">
        <v>30</v>
      </c>
    </row>
    <row r="4" spans="1:22" x14ac:dyDescent="0.4">
      <c r="A4" s="14" t="s">
        <v>2</v>
      </c>
      <c r="B4" s="14">
        <v>2415</v>
      </c>
      <c r="C4" s="7">
        <v>4</v>
      </c>
      <c r="D4" s="7">
        <v>0</v>
      </c>
      <c r="E4" s="7">
        <v>0</v>
      </c>
      <c r="F4" s="13">
        <v>8</v>
      </c>
      <c r="G4" s="13">
        <v>0</v>
      </c>
      <c r="H4" s="13">
        <v>0</v>
      </c>
      <c r="I4" s="13">
        <v>0</v>
      </c>
      <c r="J4" s="13">
        <v>0</v>
      </c>
      <c r="K4" s="13">
        <v>0</v>
      </c>
      <c r="L4" s="13">
        <v>1</v>
      </c>
      <c r="M4" s="13">
        <v>0.5</v>
      </c>
      <c r="N4" s="13">
        <v>0</v>
      </c>
      <c r="O4" s="13">
        <v>0</v>
      </c>
      <c r="P4" s="7" t="s">
        <v>61</v>
      </c>
      <c r="Q4" s="7" t="s">
        <v>14</v>
      </c>
      <c r="R4" s="7" t="s">
        <v>22</v>
      </c>
      <c r="S4" s="7" t="s">
        <v>23</v>
      </c>
      <c r="T4" s="7" t="s">
        <v>28</v>
      </c>
      <c r="U4" s="7" t="s">
        <v>29</v>
      </c>
      <c r="V4" s="7" t="s">
        <v>30</v>
      </c>
    </row>
    <row r="5" spans="1:22" x14ac:dyDescent="0.4">
      <c r="A5" s="13" t="s">
        <v>3</v>
      </c>
      <c r="B5" s="13">
        <v>2385</v>
      </c>
      <c r="C5" s="12">
        <v>0</v>
      </c>
      <c r="D5" s="12">
        <v>1</v>
      </c>
      <c r="E5" s="12">
        <v>0</v>
      </c>
      <c r="F5" s="13">
        <v>2</v>
      </c>
      <c r="G5" s="13">
        <v>0</v>
      </c>
      <c r="H5" s="13">
        <v>0</v>
      </c>
      <c r="I5" s="13">
        <v>0</v>
      </c>
      <c r="J5" s="13">
        <v>0</v>
      </c>
      <c r="K5" s="13">
        <v>0</v>
      </c>
      <c r="L5" s="13">
        <v>0</v>
      </c>
      <c r="M5" s="13">
        <v>0.25</v>
      </c>
      <c r="N5" s="13">
        <v>0.25</v>
      </c>
      <c r="O5" s="13">
        <v>0</v>
      </c>
      <c r="P5" s="7" t="s">
        <v>61</v>
      </c>
      <c r="Q5" s="12" t="s">
        <v>15</v>
      </c>
      <c r="R5" s="12" t="s">
        <v>22</v>
      </c>
      <c r="S5" s="12" t="s">
        <v>23</v>
      </c>
      <c r="T5" s="12" t="s">
        <v>28</v>
      </c>
      <c r="U5" s="12" t="s">
        <v>29</v>
      </c>
      <c r="V5" s="12" t="s">
        <v>30</v>
      </c>
    </row>
    <row r="6" spans="1:22" x14ac:dyDescent="0.4">
      <c r="A6" s="13" t="s">
        <v>4</v>
      </c>
      <c r="B6" s="13">
        <v>2810</v>
      </c>
      <c r="C6" s="12">
        <v>1</v>
      </c>
      <c r="D6" s="12">
        <v>0</v>
      </c>
      <c r="E6" s="12">
        <v>0</v>
      </c>
      <c r="F6" s="13">
        <v>3</v>
      </c>
      <c r="G6" s="13">
        <v>0</v>
      </c>
      <c r="H6" s="13">
        <v>0</v>
      </c>
      <c r="I6" s="13">
        <v>0</v>
      </c>
      <c r="J6" s="13">
        <v>0</v>
      </c>
      <c r="K6" s="13">
        <v>0</v>
      </c>
      <c r="L6" s="13">
        <v>0.2</v>
      </c>
      <c r="M6" s="13">
        <v>0.1</v>
      </c>
      <c r="N6" s="13">
        <v>0.1</v>
      </c>
      <c r="O6" s="13">
        <v>0</v>
      </c>
      <c r="P6" s="7" t="s">
        <v>61</v>
      </c>
      <c r="Q6" s="12" t="s">
        <v>15</v>
      </c>
      <c r="R6" s="12" t="s">
        <v>22</v>
      </c>
      <c r="S6" s="12" t="s">
        <v>23</v>
      </c>
      <c r="T6" s="12" t="s">
        <v>28</v>
      </c>
      <c r="U6" s="12" t="s">
        <v>29</v>
      </c>
      <c r="V6" s="12" t="s">
        <v>30</v>
      </c>
    </row>
    <row r="7" spans="1:22" x14ac:dyDescent="0.4">
      <c r="A7" s="10" t="s">
        <v>5</v>
      </c>
      <c r="B7" s="10">
        <v>2735</v>
      </c>
      <c r="C7" s="6">
        <v>18</v>
      </c>
      <c r="D7" s="6">
        <v>3</v>
      </c>
      <c r="E7" s="6">
        <v>1</v>
      </c>
      <c r="F7" s="10">
        <v>65</v>
      </c>
      <c r="G7" s="10">
        <v>22</v>
      </c>
      <c r="H7" s="10">
        <v>200</v>
      </c>
      <c r="I7" s="10">
        <v>30</v>
      </c>
      <c r="J7" s="10">
        <v>0</v>
      </c>
      <c r="K7" s="10">
        <v>0</v>
      </c>
      <c r="L7" s="10">
        <v>4</v>
      </c>
      <c r="M7" s="10">
        <v>0</v>
      </c>
      <c r="N7" s="10">
        <v>2</v>
      </c>
      <c r="O7" s="10">
        <v>2</v>
      </c>
      <c r="P7" s="11" t="s">
        <v>61</v>
      </c>
      <c r="Q7" s="6" t="s">
        <v>16</v>
      </c>
      <c r="R7" s="6" t="s">
        <v>22</v>
      </c>
      <c r="S7" s="6" t="s">
        <v>23</v>
      </c>
      <c r="T7" s="6" t="s">
        <v>31</v>
      </c>
      <c r="U7" s="6" t="s">
        <v>29</v>
      </c>
      <c r="V7" s="6" t="s">
        <v>30</v>
      </c>
    </row>
    <row r="8" spans="1:22" x14ac:dyDescent="0.4">
      <c r="A8" s="10" t="s">
        <v>6</v>
      </c>
      <c r="B8" s="10">
        <v>3256</v>
      </c>
      <c r="C8" s="6">
        <v>14</v>
      </c>
      <c r="D8" s="6">
        <v>3</v>
      </c>
      <c r="E8" s="6">
        <v>0</v>
      </c>
      <c r="F8" s="10">
        <v>72</v>
      </c>
      <c r="G8" s="10">
        <v>4</v>
      </c>
      <c r="H8" s="10">
        <v>0</v>
      </c>
      <c r="I8" s="10">
        <v>0</v>
      </c>
      <c r="J8" s="10">
        <v>0</v>
      </c>
      <c r="K8" s="10">
        <v>0</v>
      </c>
      <c r="L8" s="10">
        <v>4.5</v>
      </c>
      <c r="M8" s="10">
        <v>0</v>
      </c>
      <c r="N8" s="10">
        <v>0</v>
      </c>
      <c r="O8" s="10">
        <v>0</v>
      </c>
      <c r="P8" s="11" t="s">
        <v>61</v>
      </c>
      <c r="Q8" s="6" t="s">
        <v>17</v>
      </c>
      <c r="R8" s="6" t="s">
        <v>22</v>
      </c>
      <c r="S8" s="6" t="s">
        <v>23</v>
      </c>
      <c r="T8" s="6" t="s">
        <v>31</v>
      </c>
      <c r="U8" s="6" t="s">
        <v>32</v>
      </c>
      <c r="V8" s="6" t="s">
        <v>30</v>
      </c>
    </row>
    <row r="9" spans="1:22" x14ac:dyDescent="0.4">
      <c r="A9" s="10" t="s">
        <v>7</v>
      </c>
      <c r="B9" s="10">
        <v>3418</v>
      </c>
      <c r="C9" s="6">
        <v>32</v>
      </c>
      <c r="D9" s="6">
        <v>7</v>
      </c>
      <c r="E9" s="6">
        <v>1</v>
      </c>
      <c r="F9" s="10">
        <v>120</v>
      </c>
      <c r="G9" s="10">
        <v>17</v>
      </c>
      <c r="H9" s="10">
        <v>150</v>
      </c>
      <c r="I9" s="10">
        <v>15</v>
      </c>
      <c r="J9" s="10">
        <v>0</v>
      </c>
      <c r="K9" s="10">
        <v>0</v>
      </c>
      <c r="L9" s="10">
        <v>2.5</v>
      </c>
      <c r="M9" s="10">
        <v>0</v>
      </c>
      <c r="N9" s="10">
        <v>0</v>
      </c>
      <c r="O9" s="10">
        <v>2</v>
      </c>
      <c r="P9" s="11" t="s">
        <v>62</v>
      </c>
      <c r="Q9" s="6" t="s">
        <v>18</v>
      </c>
      <c r="R9" s="6" t="s">
        <v>22</v>
      </c>
      <c r="S9" s="6" t="s">
        <v>23</v>
      </c>
      <c r="T9" s="6" t="s">
        <v>52</v>
      </c>
      <c r="U9" s="6" t="s">
        <v>32</v>
      </c>
      <c r="V9" s="6" t="s">
        <v>30</v>
      </c>
    </row>
    <row r="10" spans="1:22" x14ac:dyDescent="0.4">
      <c r="A10" s="13" t="s">
        <v>8</v>
      </c>
      <c r="B10" s="13">
        <v>4105</v>
      </c>
      <c r="C10" s="12">
        <v>0</v>
      </c>
      <c r="D10" s="12">
        <v>0</v>
      </c>
      <c r="E10" s="12">
        <v>0</v>
      </c>
      <c r="F10" s="13">
        <v>0</v>
      </c>
      <c r="G10" s="13">
        <v>0</v>
      </c>
      <c r="H10" s="13">
        <v>0</v>
      </c>
      <c r="I10" s="13">
        <v>0</v>
      </c>
      <c r="J10" s="13">
        <v>0</v>
      </c>
      <c r="K10" s="13">
        <v>0</v>
      </c>
      <c r="L10" s="13">
        <v>0.5</v>
      </c>
      <c r="M10" s="13">
        <v>0</v>
      </c>
      <c r="N10" s="13">
        <v>0</v>
      </c>
      <c r="O10" s="13">
        <v>0</v>
      </c>
      <c r="P10" s="7" t="s">
        <v>61</v>
      </c>
      <c r="Q10" s="12"/>
      <c r="R10" s="12" t="s">
        <v>22</v>
      </c>
      <c r="S10" s="12" t="s">
        <v>23</v>
      </c>
      <c r="T10" s="12"/>
      <c r="U10" s="12" t="s">
        <v>29</v>
      </c>
      <c r="V10" s="12" t="s">
        <v>30</v>
      </c>
    </row>
    <row r="11" spans="1:22" x14ac:dyDescent="0.4">
      <c r="A11" s="10" t="s">
        <v>9</v>
      </c>
      <c r="B11" s="10">
        <v>4097</v>
      </c>
      <c r="C11" s="6">
        <v>12</v>
      </c>
      <c r="D11" s="6">
        <v>7</v>
      </c>
      <c r="E11" s="6">
        <v>0</v>
      </c>
      <c r="F11" s="10">
        <v>15</v>
      </c>
      <c r="G11" s="10">
        <v>10</v>
      </c>
      <c r="H11" s="10">
        <v>10</v>
      </c>
      <c r="I11" s="10">
        <v>0</v>
      </c>
      <c r="J11" s="10">
        <v>0</v>
      </c>
      <c r="K11" s="10">
        <v>0</v>
      </c>
      <c r="L11" s="10">
        <v>1</v>
      </c>
      <c r="M11" s="10">
        <v>0</v>
      </c>
      <c r="N11" s="10">
        <v>0</v>
      </c>
      <c r="O11" s="10">
        <v>0</v>
      </c>
      <c r="P11" s="11" t="s">
        <v>61</v>
      </c>
      <c r="Q11" s="6" t="s">
        <v>19</v>
      </c>
      <c r="R11" s="6" t="s">
        <v>22</v>
      </c>
      <c r="S11" s="6" t="s">
        <v>23</v>
      </c>
      <c r="T11" s="6" t="s">
        <v>31</v>
      </c>
      <c r="U11" s="6" t="s">
        <v>29</v>
      </c>
      <c r="V11" s="6" t="s">
        <v>30</v>
      </c>
    </row>
    <row r="12" spans="1:22" x14ac:dyDescent="0.4">
      <c r="A12" s="10" t="s">
        <v>10</v>
      </c>
      <c r="B12" s="10">
        <v>4770</v>
      </c>
      <c r="C12" s="6">
        <v>0</v>
      </c>
      <c r="D12" s="6">
        <v>7</v>
      </c>
      <c r="E12" s="6">
        <v>0</v>
      </c>
      <c r="F12" s="10">
        <v>10</v>
      </c>
      <c r="G12" s="10">
        <v>0</v>
      </c>
      <c r="H12" s="10">
        <v>25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1" t="s">
        <v>64</v>
      </c>
      <c r="Q12" s="6"/>
      <c r="R12" s="6" t="s">
        <v>22</v>
      </c>
      <c r="S12" s="6" t="s">
        <v>23</v>
      </c>
      <c r="T12" s="6"/>
      <c r="U12" s="6" t="s">
        <v>29</v>
      </c>
      <c r="V12" s="6" t="s">
        <v>30</v>
      </c>
    </row>
    <row r="13" spans="1:22" x14ac:dyDescent="0.4">
      <c r="A13" s="9" t="s">
        <v>63</v>
      </c>
      <c r="B13" s="9" t="s">
        <v>64</v>
      </c>
      <c r="C13" s="9">
        <f>SUM(C2:C12)</f>
        <v>95</v>
      </c>
      <c r="D13" s="9">
        <f t="shared" ref="D13:O13" si="0">SUM(D2:D12)</f>
        <v>29</v>
      </c>
      <c r="E13" s="9">
        <f t="shared" si="0"/>
        <v>2</v>
      </c>
      <c r="F13" s="9">
        <f t="shared" si="0"/>
        <v>318</v>
      </c>
      <c r="G13" s="9">
        <f t="shared" si="0"/>
        <v>53</v>
      </c>
      <c r="H13" s="9">
        <f t="shared" si="0"/>
        <v>385</v>
      </c>
      <c r="I13" s="9">
        <f t="shared" si="0"/>
        <v>60</v>
      </c>
      <c r="J13" s="9">
        <f t="shared" si="0"/>
        <v>5</v>
      </c>
      <c r="K13" s="9">
        <f t="shared" si="0"/>
        <v>10</v>
      </c>
      <c r="L13" s="9">
        <f t="shared" si="0"/>
        <v>16.95</v>
      </c>
      <c r="M13" s="9">
        <f t="shared" si="0"/>
        <v>2.1</v>
      </c>
      <c r="N13" s="9">
        <f t="shared" si="0"/>
        <v>2.35</v>
      </c>
      <c r="O13" s="9">
        <f t="shared" si="0"/>
        <v>4</v>
      </c>
      <c r="P13" s="8"/>
      <c r="Q13" s="8"/>
      <c r="R13" s="8"/>
      <c r="S13" s="8"/>
      <c r="T13" s="8"/>
      <c r="U13" s="8"/>
      <c r="V13" s="8"/>
    </row>
    <row r="15" spans="1:22" x14ac:dyDescent="0.4">
      <c r="F15" s="8"/>
      <c r="G15" s="8"/>
      <c r="H15" s="8"/>
      <c r="I15" s="8"/>
      <c r="J15" s="8"/>
      <c r="K15" s="8"/>
      <c r="L15" s="8"/>
      <c r="M15" s="8"/>
      <c r="N15" s="8"/>
      <c r="O15" s="8"/>
      <c r="Q15" s="15"/>
    </row>
    <row r="16" spans="1:22" x14ac:dyDescent="0.4">
      <c r="F16" s="8"/>
      <c r="G16" s="8"/>
      <c r="H16" s="8"/>
      <c r="I16" s="8"/>
      <c r="J16" s="8"/>
      <c r="K16" s="8"/>
      <c r="L16" s="8"/>
      <c r="M16" s="8"/>
      <c r="N16" s="8"/>
      <c r="O16" s="8"/>
      <c r="Q16" s="15"/>
    </row>
    <row r="17" spans="6:17" x14ac:dyDescent="0.4">
      <c r="F17" s="8"/>
      <c r="G17" s="8"/>
      <c r="H17" s="8"/>
      <c r="I17" s="8"/>
      <c r="J17" s="8"/>
      <c r="K17" s="8"/>
      <c r="L17" s="8"/>
      <c r="M17" s="8"/>
      <c r="N17" s="8"/>
      <c r="O17" s="8"/>
      <c r="Q17" s="15"/>
    </row>
    <row r="18" spans="6:17" x14ac:dyDescent="0.4">
      <c r="Q18" s="15"/>
    </row>
    <row r="19" spans="6:17" x14ac:dyDescent="0.4">
      <c r="Q19" s="15"/>
    </row>
    <row r="20" spans="6:17" x14ac:dyDescent="0.4">
      <c r="Q20" s="15"/>
    </row>
    <row r="21" spans="6:17" x14ac:dyDescent="0.4">
      <c r="Q21" s="15"/>
    </row>
  </sheetData>
  <phoneticPr fontId="9" type="noConversion"/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17D37B-1D5E-594A-84FB-1963A3C17ECE}">
  <dimension ref="A1:O41"/>
  <sheetViews>
    <sheetView topLeftCell="A19" workbookViewId="0">
      <selection activeCell="A29" sqref="A29:N40"/>
    </sheetView>
  </sheetViews>
  <sheetFormatPr defaultColWidth="10.6640625" defaultRowHeight="16" x14ac:dyDescent="0.4"/>
  <cols>
    <col min="15" max="15" width="13.1640625" bestFit="1" customWidth="1"/>
  </cols>
  <sheetData>
    <row r="1" spans="2:15" x14ac:dyDescent="0.4">
      <c r="B1" s="16" t="s">
        <v>34</v>
      </c>
      <c r="C1" s="16"/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  <c r="O1" s="16"/>
    </row>
    <row r="2" spans="2:15" x14ac:dyDescent="0.4">
      <c r="B2" s="16"/>
      <c r="C2" s="16"/>
      <c r="D2" s="16"/>
      <c r="E2" s="16"/>
      <c r="F2" s="16"/>
      <c r="G2" s="16"/>
      <c r="H2" s="16"/>
      <c r="I2" s="16"/>
      <c r="J2" s="16"/>
      <c r="K2" s="16"/>
      <c r="L2" s="16"/>
      <c r="M2" s="16"/>
      <c r="N2" s="16"/>
      <c r="O2" s="16"/>
    </row>
    <row r="3" spans="2:15" x14ac:dyDescent="0.4"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</row>
    <row r="4" spans="2:15" x14ac:dyDescent="0.4">
      <c r="B4" s="3" t="s">
        <v>35</v>
      </c>
      <c r="C4" s="3" t="s">
        <v>36</v>
      </c>
      <c r="D4" s="3" t="s">
        <v>37</v>
      </c>
      <c r="E4" s="3" t="s">
        <v>38</v>
      </c>
      <c r="F4" s="3" t="s">
        <v>39</v>
      </c>
      <c r="G4" s="3" t="s">
        <v>40</v>
      </c>
      <c r="H4" s="3" t="s">
        <v>41</v>
      </c>
      <c r="I4" s="3" t="s">
        <v>42</v>
      </c>
      <c r="J4" s="3" t="s">
        <v>43</v>
      </c>
      <c r="K4" s="3" t="s">
        <v>44</v>
      </c>
      <c r="L4" s="3" t="s">
        <v>45</v>
      </c>
      <c r="M4" s="3" t="s">
        <v>46</v>
      </c>
      <c r="N4" s="3" t="s">
        <v>47</v>
      </c>
      <c r="O4" s="3" t="s">
        <v>48</v>
      </c>
    </row>
    <row r="5" spans="2:15" x14ac:dyDescent="0.4">
      <c r="B5" s="4">
        <v>2004</v>
      </c>
      <c r="C5" s="4">
        <v>4</v>
      </c>
      <c r="D5" s="4">
        <v>2</v>
      </c>
      <c r="E5" s="4">
        <v>43</v>
      </c>
      <c r="F5" s="4">
        <v>100</v>
      </c>
      <c r="G5" s="4">
        <v>2</v>
      </c>
      <c r="H5" s="4">
        <v>0</v>
      </c>
      <c r="I5" s="4">
        <v>0</v>
      </c>
      <c r="J5" s="4">
        <v>0</v>
      </c>
      <c r="K5" s="4">
        <v>21</v>
      </c>
      <c r="L5" s="4">
        <v>245</v>
      </c>
      <c r="M5" s="4">
        <v>38</v>
      </c>
      <c r="N5" s="4">
        <v>3</v>
      </c>
      <c r="O5" s="4">
        <f t="shared" ref="O5:O24" si="0">SUM(C5:N5)</f>
        <v>458</v>
      </c>
    </row>
    <row r="6" spans="2:15" x14ac:dyDescent="0.4">
      <c r="B6" s="4">
        <v>2005</v>
      </c>
      <c r="C6" s="4">
        <v>0</v>
      </c>
      <c r="D6" s="4">
        <v>0</v>
      </c>
      <c r="E6" s="4">
        <v>19</v>
      </c>
      <c r="F6" s="4">
        <v>32</v>
      </c>
      <c r="G6" s="4">
        <v>0</v>
      </c>
      <c r="H6" s="4">
        <v>0</v>
      </c>
      <c r="I6" s="4">
        <v>0</v>
      </c>
      <c r="J6" s="4">
        <v>0</v>
      </c>
      <c r="K6" s="4">
        <v>39</v>
      </c>
      <c r="L6" s="4">
        <v>42</v>
      </c>
      <c r="M6" s="4">
        <v>31</v>
      </c>
      <c r="N6" s="4">
        <v>4</v>
      </c>
      <c r="O6" s="4">
        <f t="shared" si="0"/>
        <v>167</v>
      </c>
    </row>
    <row r="7" spans="2:15" x14ac:dyDescent="0.4">
      <c r="B7" s="4">
        <v>2006</v>
      </c>
      <c r="C7" s="4">
        <v>0</v>
      </c>
      <c r="D7" s="4">
        <v>4</v>
      </c>
      <c r="E7" s="4">
        <v>48</v>
      </c>
      <c r="F7" s="4">
        <v>0</v>
      </c>
      <c r="G7" s="4">
        <v>0</v>
      </c>
      <c r="H7" s="4">
        <v>0</v>
      </c>
      <c r="I7" s="4">
        <v>0</v>
      </c>
      <c r="J7" s="4">
        <v>18</v>
      </c>
      <c r="K7" s="4">
        <v>15</v>
      </c>
      <c r="L7" s="4">
        <v>212</v>
      </c>
      <c r="M7" s="4">
        <v>38</v>
      </c>
      <c r="N7" s="4">
        <v>0</v>
      </c>
      <c r="O7" s="4">
        <f t="shared" si="0"/>
        <v>335</v>
      </c>
    </row>
    <row r="8" spans="2:15" x14ac:dyDescent="0.4">
      <c r="B8" s="4">
        <v>2007</v>
      </c>
      <c r="C8" s="4">
        <v>0</v>
      </c>
      <c r="D8" s="4">
        <v>0</v>
      </c>
      <c r="E8" s="4">
        <v>20</v>
      </c>
      <c r="F8" s="4">
        <v>44</v>
      </c>
      <c r="G8" s="4">
        <v>1</v>
      </c>
      <c r="H8" s="4">
        <v>0</v>
      </c>
      <c r="I8" s="4">
        <v>0</v>
      </c>
      <c r="J8" s="4">
        <v>2</v>
      </c>
      <c r="K8" s="4">
        <v>79</v>
      </c>
      <c r="L8" s="4">
        <v>208</v>
      </c>
      <c r="M8" s="4">
        <v>40</v>
      </c>
      <c r="N8" s="4">
        <v>10</v>
      </c>
      <c r="O8" s="4">
        <f t="shared" si="0"/>
        <v>404</v>
      </c>
    </row>
    <row r="9" spans="2:15" x14ac:dyDescent="0.4">
      <c r="B9" s="4">
        <v>2008</v>
      </c>
      <c r="C9" s="4">
        <v>0</v>
      </c>
      <c r="D9" s="4">
        <v>10</v>
      </c>
      <c r="E9" s="4">
        <v>60</v>
      </c>
      <c r="F9" s="4">
        <v>185</v>
      </c>
      <c r="G9" s="4">
        <v>38</v>
      </c>
      <c r="H9" s="4">
        <v>102</v>
      </c>
      <c r="I9" s="4">
        <v>105</v>
      </c>
      <c r="J9" s="4">
        <v>205</v>
      </c>
      <c r="K9" s="4">
        <v>505</v>
      </c>
      <c r="L9" s="4">
        <v>250</v>
      </c>
      <c r="M9" s="4">
        <v>10</v>
      </c>
      <c r="N9" s="4">
        <v>20</v>
      </c>
      <c r="O9" s="4">
        <f t="shared" si="0"/>
        <v>1490</v>
      </c>
    </row>
    <row r="10" spans="2:15" x14ac:dyDescent="0.4">
      <c r="B10" s="4">
        <v>2009</v>
      </c>
      <c r="C10" s="4">
        <v>2</v>
      </c>
      <c r="D10" s="4">
        <v>7</v>
      </c>
      <c r="E10" s="4">
        <v>54</v>
      </c>
      <c r="F10" s="4">
        <v>104</v>
      </c>
      <c r="G10" s="4">
        <v>5</v>
      </c>
      <c r="H10" s="4">
        <v>0</v>
      </c>
      <c r="I10" s="4">
        <v>4</v>
      </c>
      <c r="J10" s="4">
        <v>2</v>
      </c>
      <c r="K10" s="4">
        <v>67</v>
      </c>
      <c r="L10" s="4">
        <v>181</v>
      </c>
      <c r="M10" s="4">
        <v>82</v>
      </c>
      <c r="N10" s="4">
        <v>0</v>
      </c>
      <c r="O10" s="4">
        <f t="shared" si="0"/>
        <v>508</v>
      </c>
    </row>
    <row r="11" spans="2:15" x14ac:dyDescent="0.4">
      <c r="B11" s="4">
        <v>2010</v>
      </c>
      <c r="C11" s="4">
        <v>0</v>
      </c>
      <c r="D11" s="4">
        <v>0</v>
      </c>
      <c r="E11" s="4">
        <v>57</v>
      </c>
      <c r="F11" s="4">
        <v>47</v>
      </c>
      <c r="G11" s="4">
        <v>0</v>
      </c>
      <c r="H11" s="4">
        <v>0</v>
      </c>
      <c r="I11" s="4">
        <v>0</v>
      </c>
      <c r="J11" s="4">
        <v>0</v>
      </c>
      <c r="K11" s="4">
        <v>37</v>
      </c>
      <c r="L11" s="4">
        <v>307</v>
      </c>
      <c r="M11" s="4">
        <v>30</v>
      </c>
      <c r="N11" s="4">
        <v>10</v>
      </c>
      <c r="O11" s="4">
        <f t="shared" si="0"/>
        <v>488</v>
      </c>
    </row>
    <row r="12" spans="2:15" x14ac:dyDescent="0.4">
      <c r="B12" s="4">
        <v>2011</v>
      </c>
      <c r="C12" s="4">
        <v>8</v>
      </c>
      <c r="D12" s="4">
        <v>8</v>
      </c>
      <c r="E12" s="4">
        <v>65</v>
      </c>
      <c r="F12" s="4">
        <v>104</v>
      </c>
      <c r="G12" s="4">
        <v>8</v>
      </c>
      <c r="H12" s="4">
        <v>0</v>
      </c>
      <c r="I12" s="4">
        <v>6</v>
      </c>
      <c r="J12" s="4">
        <v>0</v>
      </c>
      <c r="K12" s="4">
        <v>69</v>
      </c>
      <c r="L12" s="4">
        <v>264</v>
      </c>
      <c r="M12" s="4">
        <v>48</v>
      </c>
      <c r="N12" s="4">
        <v>11</v>
      </c>
      <c r="O12" s="4">
        <f t="shared" si="0"/>
        <v>591</v>
      </c>
    </row>
    <row r="13" spans="2:15" x14ac:dyDescent="0.4">
      <c r="B13" s="4">
        <v>2012</v>
      </c>
      <c r="C13" s="4">
        <v>0</v>
      </c>
      <c r="D13" s="4">
        <v>7</v>
      </c>
      <c r="E13" s="4">
        <v>82</v>
      </c>
      <c r="F13" s="4">
        <v>72</v>
      </c>
      <c r="G13" s="4">
        <v>14</v>
      </c>
      <c r="H13" s="4">
        <v>0</v>
      </c>
      <c r="I13" s="4">
        <v>2</v>
      </c>
      <c r="J13" s="4">
        <v>10</v>
      </c>
      <c r="K13" s="4">
        <v>74</v>
      </c>
      <c r="L13" s="4">
        <v>307</v>
      </c>
      <c r="M13" s="4">
        <v>62</v>
      </c>
      <c r="N13" s="4">
        <v>5</v>
      </c>
      <c r="O13" s="4">
        <f t="shared" si="0"/>
        <v>635</v>
      </c>
    </row>
    <row r="14" spans="2:15" x14ac:dyDescent="0.4">
      <c r="B14" s="4">
        <v>2013</v>
      </c>
      <c r="C14" s="4">
        <v>0</v>
      </c>
      <c r="D14" s="4">
        <v>2</v>
      </c>
      <c r="E14" s="4">
        <v>100</v>
      </c>
      <c r="F14" s="4">
        <v>96</v>
      </c>
      <c r="G14" s="4">
        <v>23</v>
      </c>
      <c r="H14" s="4">
        <v>0</v>
      </c>
      <c r="I14" s="4">
        <v>0</v>
      </c>
      <c r="J14" s="4">
        <v>6</v>
      </c>
      <c r="K14" s="4">
        <v>114</v>
      </c>
      <c r="L14" s="4">
        <v>395</v>
      </c>
      <c r="M14" s="4">
        <v>71</v>
      </c>
      <c r="N14" s="4">
        <v>30</v>
      </c>
      <c r="O14" s="4">
        <f t="shared" si="0"/>
        <v>837</v>
      </c>
    </row>
    <row r="15" spans="2:15" x14ac:dyDescent="0.4">
      <c r="B15" s="4">
        <v>2014</v>
      </c>
      <c r="C15" s="4">
        <v>0</v>
      </c>
      <c r="D15" s="4">
        <v>10</v>
      </c>
      <c r="E15" s="4">
        <v>58</v>
      </c>
      <c r="F15" s="4">
        <v>155</v>
      </c>
      <c r="G15" s="4">
        <v>33</v>
      </c>
      <c r="H15" s="4">
        <v>2</v>
      </c>
      <c r="I15" s="4">
        <v>0</v>
      </c>
      <c r="J15" s="4">
        <v>2</v>
      </c>
      <c r="K15" s="4">
        <v>60</v>
      </c>
      <c r="L15" s="4">
        <v>383</v>
      </c>
      <c r="M15" s="4">
        <v>72</v>
      </c>
      <c r="N15" s="4">
        <v>2</v>
      </c>
      <c r="O15" s="4">
        <f t="shared" si="0"/>
        <v>777</v>
      </c>
    </row>
    <row r="16" spans="2:15" x14ac:dyDescent="0.4">
      <c r="B16" s="4">
        <v>2015</v>
      </c>
      <c r="C16" s="4">
        <v>12</v>
      </c>
      <c r="D16" s="4">
        <v>6</v>
      </c>
      <c r="E16" s="4">
        <v>104</v>
      </c>
      <c r="F16" s="4">
        <v>102</v>
      </c>
      <c r="G16" s="4">
        <v>2</v>
      </c>
      <c r="H16" s="4">
        <v>2</v>
      </c>
      <c r="I16" s="4">
        <v>2</v>
      </c>
      <c r="J16" s="4">
        <v>2</v>
      </c>
      <c r="K16" s="4">
        <v>68</v>
      </c>
      <c r="L16" s="4">
        <v>317</v>
      </c>
      <c r="M16" s="4">
        <v>102</v>
      </c>
      <c r="N16" s="4">
        <v>12</v>
      </c>
      <c r="O16" s="4">
        <f t="shared" si="0"/>
        <v>731</v>
      </c>
    </row>
    <row r="17" spans="1:15" x14ac:dyDescent="0.4">
      <c r="B17" s="4">
        <v>2016</v>
      </c>
      <c r="C17" s="4">
        <v>0</v>
      </c>
      <c r="D17" s="4">
        <v>12</v>
      </c>
      <c r="E17" s="4">
        <v>48</v>
      </c>
      <c r="F17" s="4">
        <v>132</v>
      </c>
      <c r="G17" s="4">
        <v>27</v>
      </c>
      <c r="H17" s="4">
        <v>0</v>
      </c>
      <c r="I17" s="4">
        <v>0</v>
      </c>
      <c r="J17" s="4">
        <v>8</v>
      </c>
      <c r="K17" s="4">
        <v>112</v>
      </c>
      <c r="L17" s="4">
        <v>364</v>
      </c>
      <c r="M17" s="4">
        <v>89</v>
      </c>
      <c r="N17" s="4">
        <v>6</v>
      </c>
      <c r="O17" s="4">
        <f t="shared" si="0"/>
        <v>798</v>
      </c>
    </row>
    <row r="18" spans="1:15" x14ac:dyDescent="0.4">
      <c r="B18" s="4">
        <v>2017</v>
      </c>
      <c r="C18" s="4">
        <v>2</v>
      </c>
      <c r="D18" s="4">
        <v>12</v>
      </c>
      <c r="E18" s="4">
        <v>99</v>
      </c>
      <c r="F18" s="4">
        <v>227</v>
      </c>
      <c r="G18" s="4">
        <v>9</v>
      </c>
      <c r="H18" s="4">
        <v>2</v>
      </c>
      <c r="I18" s="4">
        <v>0</v>
      </c>
      <c r="J18" s="4">
        <v>17</v>
      </c>
      <c r="K18" s="4">
        <v>98</v>
      </c>
      <c r="L18" s="4">
        <v>428</v>
      </c>
      <c r="M18" s="4">
        <v>109</v>
      </c>
      <c r="N18" s="4">
        <v>5</v>
      </c>
      <c r="O18" s="4">
        <f t="shared" si="0"/>
        <v>1008</v>
      </c>
    </row>
    <row r="19" spans="1:15" x14ac:dyDescent="0.4">
      <c r="B19" s="4">
        <v>2018</v>
      </c>
      <c r="C19" s="4">
        <v>9</v>
      </c>
      <c r="D19" s="4">
        <v>13</v>
      </c>
      <c r="E19" s="4">
        <v>72</v>
      </c>
      <c r="F19" s="4">
        <v>153</v>
      </c>
      <c r="G19" s="4">
        <v>17</v>
      </c>
      <c r="H19" s="4">
        <v>2</v>
      </c>
      <c r="I19" s="4">
        <v>4</v>
      </c>
      <c r="J19" s="4">
        <v>5</v>
      </c>
      <c r="K19" s="4">
        <v>143</v>
      </c>
      <c r="L19" s="4">
        <v>442</v>
      </c>
      <c r="M19" s="4">
        <v>101</v>
      </c>
      <c r="N19" s="4">
        <v>9</v>
      </c>
      <c r="O19" s="4">
        <f t="shared" si="0"/>
        <v>970</v>
      </c>
    </row>
    <row r="20" spans="1:15" x14ac:dyDescent="0.4">
      <c r="B20" s="4">
        <v>2019</v>
      </c>
      <c r="C20" s="4">
        <v>11</v>
      </c>
      <c r="D20" s="4">
        <v>14</v>
      </c>
      <c r="E20" s="4">
        <v>105</v>
      </c>
      <c r="F20" s="4">
        <v>148</v>
      </c>
      <c r="G20" s="4">
        <v>36</v>
      </c>
      <c r="H20" s="4">
        <v>0</v>
      </c>
      <c r="I20" s="4">
        <v>2</v>
      </c>
      <c r="J20" s="4">
        <v>2</v>
      </c>
      <c r="K20" s="4">
        <v>111</v>
      </c>
      <c r="L20" s="4">
        <v>482</v>
      </c>
      <c r="M20" s="4">
        <v>0</v>
      </c>
      <c r="N20" s="4">
        <v>0</v>
      </c>
      <c r="O20" s="4">
        <f t="shared" si="0"/>
        <v>911</v>
      </c>
    </row>
    <row r="21" spans="1:15" x14ac:dyDescent="0.4">
      <c r="B21" s="4">
        <v>2020</v>
      </c>
      <c r="C21" s="4">
        <v>6</v>
      </c>
      <c r="D21" s="4">
        <v>15</v>
      </c>
      <c r="E21" s="4">
        <v>24</v>
      </c>
      <c r="F21" s="4">
        <v>0</v>
      </c>
      <c r="G21" s="4">
        <v>0</v>
      </c>
      <c r="H21" s="4">
        <v>0</v>
      </c>
      <c r="I21" s="4">
        <v>0</v>
      </c>
      <c r="J21" s="4">
        <v>0</v>
      </c>
      <c r="K21" s="4">
        <v>0</v>
      </c>
      <c r="L21" s="4">
        <v>2</v>
      </c>
      <c r="M21" s="4">
        <v>8</v>
      </c>
      <c r="N21" s="4">
        <v>0</v>
      </c>
      <c r="O21" s="4">
        <f t="shared" si="0"/>
        <v>55</v>
      </c>
    </row>
    <row r="22" spans="1:15" x14ac:dyDescent="0.4">
      <c r="B22" s="4">
        <v>2021</v>
      </c>
      <c r="C22" s="4">
        <v>0</v>
      </c>
      <c r="D22" s="4">
        <v>0</v>
      </c>
      <c r="E22" s="4">
        <v>19</v>
      </c>
      <c r="F22" s="4">
        <v>18</v>
      </c>
      <c r="G22" s="4">
        <v>0</v>
      </c>
      <c r="H22" s="4">
        <v>0</v>
      </c>
      <c r="I22" s="4">
        <v>0</v>
      </c>
      <c r="J22" s="4">
        <v>0</v>
      </c>
      <c r="K22" s="4">
        <v>19</v>
      </c>
      <c r="L22" s="4">
        <v>58</v>
      </c>
      <c r="M22" s="4">
        <v>23</v>
      </c>
      <c r="N22" s="4">
        <v>0</v>
      </c>
      <c r="O22" s="4">
        <f t="shared" si="0"/>
        <v>137</v>
      </c>
    </row>
    <row r="23" spans="1:15" x14ac:dyDescent="0.4">
      <c r="B23" s="4">
        <v>2022</v>
      </c>
      <c r="C23" s="4">
        <v>0</v>
      </c>
      <c r="D23" s="4">
        <v>7</v>
      </c>
      <c r="E23" s="4">
        <v>51</v>
      </c>
      <c r="F23" s="4">
        <v>136</v>
      </c>
      <c r="G23" s="4">
        <v>24</v>
      </c>
      <c r="H23" s="4">
        <v>3</v>
      </c>
      <c r="I23" s="4">
        <v>0</v>
      </c>
      <c r="J23" s="4">
        <v>2</v>
      </c>
      <c r="K23" s="4">
        <v>133</v>
      </c>
      <c r="L23" s="4">
        <v>397</v>
      </c>
      <c r="M23" s="4">
        <v>98</v>
      </c>
      <c r="N23" s="4">
        <v>7</v>
      </c>
      <c r="O23" s="4">
        <f t="shared" si="0"/>
        <v>858</v>
      </c>
    </row>
    <row r="24" spans="1:15" x14ac:dyDescent="0.4">
      <c r="B24" s="4">
        <v>2023</v>
      </c>
      <c r="C24" s="4">
        <v>2</v>
      </c>
      <c r="D24" s="4">
        <v>9</v>
      </c>
      <c r="E24" s="4">
        <v>31</v>
      </c>
      <c r="F24" s="4">
        <v>77</v>
      </c>
      <c r="G24" s="4">
        <v>20</v>
      </c>
      <c r="H24" s="4">
        <v>1</v>
      </c>
      <c r="I24" s="4">
        <v>1</v>
      </c>
      <c r="J24" s="4">
        <v>0</v>
      </c>
      <c r="K24" s="4">
        <v>37</v>
      </c>
      <c r="L24" s="4">
        <v>158</v>
      </c>
      <c r="M24" s="4">
        <v>66</v>
      </c>
      <c r="N24" s="4">
        <v>3</v>
      </c>
      <c r="O24" s="4">
        <f t="shared" si="0"/>
        <v>405</v>
      </c>
    </row>
    <row r="25" spans="1:15" x14ac:dyDescent="0.4">
      <c r="B25" s="5">
        <v>2024</v>
      </c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x14ac:dyDescent="0.4">
      <c r="B26" s="3" t="s">
        <v>49</v>
      </c>
      <c r="C26" s="3">
        <f t="shared" ref="C26:O26" si="1">AVERAGE(C5:C25)</f>
        <v>2.8</v>
      </c>
      <c r="D26" s="3">
        <f t="shared" si="1"/>
        <v>6.9</v>
      </c>
      <c r="E26" s="3">
        <f t="shared" si="1"/>
        <v>57.95</v>
      </c>
      <c r="F26" s="3">
        <f t="shared" si="1"/>
        <v>96.6</v>
      </c>
      <c r="G26" s="3">
        <f t="shared" si="1"/>
        <v>12.95</v>
      </c>
      <c r="H26" s="3">
        <f t="shared" si="1"/>
        <v>5.7</v>
      </c>
      <c r="I26" s="3">
        <f t="shared" si="1"/>
        <v>6.3</v>
      </c>
      <c r="J26" s="3">
        <f t="shared" si="1"/>
        <v>14.05</v>
      </c>
      <c r="K26" s="3">
        <f t="shared" si="1"/>
        <v>90.05</v>
      </c>
      <c r="L26" s="3">
        <f t="shared" si="1"/>
        <v>272.10000000000002</v>
      </c>
      <c r="M26" s="3">
        <f t="shared" si="1"/>
        <v>55.9</v>
      </c>
      <c r="N26" s="3">
        <f t="shared" si="1"/>
        <v>6.85</v>
      </c>
      <c r="O26" s="3">
        <f t="shared" si="1"/>
        <v>628.15</v>
      </c>
    </row>
    <row r="29" spans="1:15" x14ac:dyDescent="0.4">
      <c r="A29" s="1" t="s">
        <v>0</v>
      </c>
      <c r="B29" s="1" t="s">
        <v>54</v>
      </c>
      <c r="C29" t="s">
        <v>36</v>
      </c>
      <c r="D29" t="s">
        <v>37</v>
      </c>
      <c r="E29" t="s">
        <v>38</v>
      </c>
      <c r="F29" t="s">
        <v>39</v>
      </c>
      <c r="G29" t="s">
        <v>40</v>
      </c>
      <c r="H29" t="s">
        <v>41</v>
      </c>
      <c r="I29" t="s">
        <v>42</v>
      </c>
      <c r="J29" t="s">
        <v>43</v>
      </c>
      <c r="K29" t="s">
        <v>44</v>
      </c>
      <c r="L29" t="s">
        <v>45</v>
      </c>
      <c r="M29" t="s">
        <v>46</v>
      </c>
      <c r="N29" t="s">
        <v>47</v>
      </c>
      <c r="O29" t="s">
        <v>48</v>
      </c>
    </row>
    <row r="30" spans="1:15" x14ac:dyDescent="0.4">
      <c r="A30" s="10" t="s">
        <v>33</v>
      </c>
      <c r="B30" s="6">
        <v>1</v>
      </c>
      <c r="C30">
        <f t="shared" ref="C30:N40" si="2">_xlfn.CEILING.MATH(C$26*$B30/$B$41)</f>
        <v>1</v>
      </c>
      <c r="D30">
        <f t="shared" si="2"/>
        <v>1</v>
      </c>
      <c r="E30">
        <f t="shared" si="2"/>
        <v>2</v>
      </c>
      <c r="F30">
        <f t="shared" si="2"/>
        <v>4</v>
      </c>
      <c r="G30">
        <f t="shared" si="2"/>
        <v>1</v>
      </c>
      <c r="H30">
        <f t="shared" si="2"/>
        <v>1</v>
      </c>
      <c r="I30">
        <f t="shared" si="2"/>
        <v>1</v>
      </c>
      <c r="J30">
        <f t="shared" si="2"/>
        <v>1</v>
      </c>
      <c r="K30">
        <f t="shared" si="2"/>
        <v>4</v>
      </c>
      <c r="L30">
        <f t="shared" si="2"/>
        <v>10</v>
      </c>
      <c r="M30">
        <f t="shared" si="2"/>
        <v>2</v>
      </c>
      <c r="N30">
        <f t="shared" si="2"/>
        <v>1</v>
      </c>
      <c r="O30">
        <f t="shared" ref="O30:O41" si="3">SUM(C30:N30)</f>
        <v>29</v>
      </c>
    </row>
    <row r="31" spans="1:15" x14ac:dyDescent="0.4">
      <c r="A31" s="13" t="s">
        <v>1</v>
      </c>
      <c r="B31" s="12">
        <v>0</v>
      </c>
      <c r="C31">
        <f t="shared" si="2"/>
        <v>0</v>
      </c>
      <c r="D31">
        <f t="shared" si="2"/>
        <v>0</v>
      </c>
      <c r="E31">
        <f t="shared" si="2"/>
        <v>0</v>
      </c>
      <c r="F31">
        <f t="shared" si="2"/>
        <v>0</v>
      </c>
      <c r="G31">
        <f t="shared" si="2"/>
        <v>0</v>
      </c>
      <c r="H31">
        <f t="shared" si="2"/>
        <v>0</v>
      </c>
      <c r="I31">
        <f t="shared" si="2"/>
        <v>0</v>
      </c>
      <c r="J31">
        <f t="shared" si="2"/>
        <v>0</v>
      </c>
      <c r="K31">
        <f t="shared" si="2"/>
        <v>0</v>
      </c>
      <c r="L31">
        <f t="shared" si="2"/>
        <v>0</v>
      </c>
      <c r="M31">
        <f t="shared" si="2"/>
        <v>0</v>
      </c>
      <c r="N31">
        <f t="shared" si="2"/>
        <v>0</v>
      </c>
      <c r="O31">
        <f t="shared" si="3"/>
        <v>0</v>
      </c>
    </row>
    <row r="32" spans="1:15" x14ac:dyDescent="0.4">
      <c r="A32" s="14" t="s">
        <v>2</v>
      </c>
      <c r="B32" s="7">
        <v>0</v>
      </c>
      <c r="C32">
        <f t="shared" si="2"/>
        <v>0</v>
      </c>
      <c r="D32">
        <f t="shared" si="2"/>
        <v>0</v>
      </c>
      <c r="E32">
        <f t="shared" si="2"/>
        <v>0</v>
      </c>
      <c r="F32">
        <f t="shared" si="2"/>
        <v>0</v>
      </c>
      <c r="G32">
        <f t="shared" si="2"/>
        <v>0</v>
      </c>
      <c r="H32">
        <f t="shared" si="2"/>
        <v>0</v>
      </c>
      <c r="I32">
        <f t="shared" si="2"/>
        <v>0</v>
      </c>
      <c r="J32">
        <f t="shared" si="2"/>
        <v>0</v>
      </c>
      <c r="K32">
        <f t="shared" si="2"/>
        <v>0</v>
      </c>
      <c r="L32">
        <f t="shared" si="2"/>
        <v>0</v>
      </c>
      <c r="M32">
        <f t="shared" si="2"/>
        <v>0</v>
      </c>
      <c r="N32">
        <f t="shared" si="2"/>
        <v>0</v>
      </c>
      <c r="O32">
        <f t="shared" si="3"/>
        <v>0</v>
      </c>
    </row>
    <row r="33" spans="1:15" x14ac:dyDescent="0.4">
      <c r="A33" s="13" t="s">
        <v>3</v>
      </c>
      <c r="B33" s="12">
        <v>1</v>
      </c>
      <c r="C33">
        <f t="shared" si="2"/>
        <v>1</v>
      </c>
      <c r="D33">
        <f t="shared" si="2"/>
        <v>1</v>
      </c>
      <c r="E33">
        <f t="shared" si="2"/>
        <v>2</v>
      </c>
      <c r="F33">
        <f t="shared" si="2"/>
        <v>4</v>
      </c>
      <c r="G33">
        <f t="shared" si="2"/>
        <v>1</v>
      </c>
      <c r="H33">
        <f t="shared" si="2"/>
        <v>1</v>
      </c>
      <c r="I33">
        <f t="shared" si="2"/>
        <v>1</v>
      </c>
      <c r="J33">
        <f t="shared" si="2"/>
        <v>1</v>
      </c>
      <c r="K33">
        <f t="shared" si="2"/>
        <v>4</v>
      </c>
      <c r="L33">
        <f t="shared" si="2"/>
        <v>10</v>
      </c>
      <c r="M33">
        <f t="shared" si="2"/>
        <v>2</v>
      </c>
      <c r="N33">
        <f t="shared" si="2"/>
        <v>1</v>
      </c>
      <c r="O33">
        <f t="shared" si="3"/>
        <v>29</v>
      </c>
    </row>
    <row r="34" spans="1:15" x14ac:dyDescent="0.4">
      <c r="A34" s="13" t="s">
        <v>4</v>
      </c>
      <c r="B34" s="12">
        <v>0</v>
      </c>
      <c r="C34">
        <f t="shared" si="2"/>
        <v>0</v>
      </c>
      <c r="D34">
        <f t="shared" si="2"/>
        <v>0</v>
      </c>
      <c r="E34">
        <f t="shared" si="2"/>
        <v>0</v>
      </c>
      <c r="F34">
        <f t="shared" si="2"/>
        <v>0</v>
      </c>
      <c r="G34">
        <f t="shared" si="2"/>
        <v>0</v>
      </c>
      <c r="H34">
        <f t="shared" si="2"/>
        <v>0</v>
      </c>
      <c r="I34">
        <f t="shared" si="2"/>
        <v>0</v>
      </c>
      <c r="J34">
        <f t="shared" si="2"/>
        <v>0</v>
      </c>
      <c r="K34">
        <f t="shared" si="2"/>
        <v>0</v>
      </c>
      <c r="L34">
        <f t="shared" si="2"/>
        <v>0</v>
      </c>
      <c r="M34">
        <f t="shared" si="2"/>
        <v>0</v>
      </c>
      <c r="N34">
        <f t="shared" si="2"/>
        <v>0</v>
      </c>
      <c r="O34">
        <f t="shared" si="3"/>
        <v>0</v>
      </c>
    </row>
    <row r="35" spans="1:15" x14ac:dyDescent="0.4">
      <c r="A35" s="10" t="s">
        <v>5</v>
      </c>
      <c r="B35" s="6">
        <v>3</v>
      </c>
      <c r="C35">
        <f t="shared" si="2"/>
        <v>1</v>
      </c>
      <c r="D35">
        <f t="shared" si="2"/>
        <v>1</v>
      </c>
      <c r="E35">
        <f t="shared" si="2"/>
        <v>6</v>
      </c>
      <c r="F35">
        <f t="shared" si="2"/>
        <v>10</v>
      </c>
      <c r="G35">
        <f t="shared" si="2"/>
        <v>2</v>
      </c>
      <c r="H35">
        <f t="shared" si="2"/>
        <v>1</v>
      </c>
      <c r="I35">
        <f t="shared" si="2"/>
        <v>1</v>
      </c>
      <c r="J35">
        <f t="shared" si="2"/>
        <v>2</v>
      </c>
      <c r="K35">
        <f t="shared" si="2"/>
        <v>10</v>
      </c>
      <c r="L35">
        <f t="shared" si="2"/>
        <v>29</v>
      </c>
      <c r="M35">
        <f t="shared" si="2"/>
        <v>6</v>
      </c>
      <c r="N35">
        <f t="shared" si="2"/>
        <v>1</v>
      </c>
      <c r="O35">
        <f t="shared" si="3"/>
        <v>70</v>
      </c>
    </row>
    <row r="36" spans="1:15" x14ac:dyDescent="0.4">
      <c r="A36" s="10" t="s">
        <v>6</v>
      </c>
      <c r="B36" s="6">
        <v>3</v>
      </c>
      <c r="C36">
        <f t="shared" si="2"/>
        <v>1</v>
      </c>
      <c r="D36">
        <f t="shared" si="2"/>
        <v>1</v>
      </c>
      <c r="E36">
        <f t="shared" si="2"/>
        <v>6</v>
      </c>
      <c r="F36">
        <f t="shared" si="2"/>
        <v>10</v>
      </c>
      <c r="G36">
        <f t="shared" si="2"/>
        <v>2</v>
      </c>
      <c r="H36">
        <f t="shared" si="2"/>
        <v>1</v>
      </c>
      <c r="I36">
        <f t="shared" si="2"/>
        <v>1</v>
      </c>
      <c r="J36">
        <f t="shared" si="2"/>
        <v>2</v>
      </c>
      <c r="K36">
        <f t="shared" si="2"/>
        <v>10</v>
      </c>
      <c r="L36">
        <f t="shared" si="2"/>
        <v>29</v>
      </c>
      <c r="M36">
        <f t="shared" si="2"/>
        <v>6</v>
      </c>
      <c r="N36">
        <f t="shared" si="2"/>
        <v>1</v>
      </c>
      <c r="O36">
        <f t="shared" si="3"/>
        <v>70</v>
      </c>
    </row>
    <row r="37" spans="1:15" x14ac:dyDescent="0.4">
      <c r="A37" s="10" t="s">
        <v>7</v>
      </c>
      <c r="B37" s="6">
        <v>7</v>
      </c>
      <c r="C37">
        <f t="shared" si="2"/>
        <v>1</v>
      </c>
      <c r="D37">
        <f t="shared" si="2"/>
        <v>2</v>
      </c>
      <c r="E37">
        <f t="shared" si="2"/>
        <v>14</v>
      </c>
      <c r="F37">
        <f t="shared" si="2"/>
        <v>24</v>
      </c>
      <c r="G37">
        <f t="shared" si="2"/>
        <v>4</v>
      </c>
      <c r="H37">
        <f t="shared" si="2"/>
        <v>2</v>
      </c>
      <c r="I37">
        <f t="shared" si="2"/>
        <v>2</v>
      </c>
      <c r="J37">
        <f t="shared" si="2"/>
        <v>4</v>
      </c>
      <c r="K37">
        <f t="shared" si="2"/>
        <v>22</v>
      </c>
      <c r="L37">
        <f t="shared" si="2"/>
        <v>66</v>
      </c>
      <c r="M37">
        <f t="shared" si="2"/>
        <v>14</v>
      </c>
      <c r="N37">
        <f t="shared" si="2"/>
        <v>2</v>
      </c>
      <c r="O37">
        <f t="shared" si="3"/>
        <v>157</v>
      </c>
    </row>
    <row r="38" spans="1:15" x14ac:dyDescent="0.4">
      <c r="A38" s="13" t="s">
        <v>8</v>
      </c>
      <c r="B38" s="12">
        <v>0</v>
      </c>
      <c r="C38">
        <f t="shared" si="2"/>
        <v>0</v>
      </c>
      <c r="D38">
        <f t="shared" si="2"/>
        <v>0</v>
      </c>
      <c r="E38">
        <f t="shared" si="2"/>
        <v>0</v>
      </c>
      <c r="F38">
        <f t="shared" si="2"/>
        <v>0</v>
      </c>
      <c r="G38">
        <f t="shared" si="2"/>
        <v>0</v>
      </c>
      <c r="H38">
        <f t="shared" si="2"/>
        <v>0</v>
      </c>
      <c r="I38">
        <f t="shared" si="2"/>
        <v>0</v>
      </c>
      <c r="J38">
        <f t="shared" si="2"/>
        <v>0</v>
      </c>
      <c r="K38">
        <f t="shared" si="2"/>
        <v>0</v>
      </c>
      <c r="L38">
        <f t="shared" si="2"/>
        <v>0</v>
      </c>
      <c r="M38">
        <f t="shared" si="2"/>
        <v>0</v>
      </c>
      <c r="N38">
        <f t="shared" si="2"/>
        <v>0</v>
      </c>
      <c r="O38">
        <f t="shared" si="3"/>
        <v>0</v>
      </c>
    </row>
    <row r="39" spans="1:15" ht="32" x14ac:dyDescent="0.4">
      <c r="A39" s="10" t="s">
        <v>9</v>
      </c>
      <c r="B39" s="6">
        <v>7</v>
      </c>
      <c r="C39">
        <f t="shared" si="2"/>
        <v>1</v>
      </c>
      <c r="D39">
        <f t="shared" si="2"/>
        <v>2</v>
      </c>
      <c r="E39">
        <f t="shared" si="2"/>
        <v>14</v>
      </c>
      <c r="F39">
        <f t="shared" si="2"/>
        <v>24</v>
      </c>
      <c r="G39">
        <f t="shared" si="2"/>
        <v>4</v>
      </c>
      <c r="H39">
        <f t="shared" si="2"/>
        <v>2</v>
      </c>
      <c r="I39">
        <f t="shared" si="2"/>
        <v>2</v>
      </c>
      <c r="J39">
        <f t="shared" si="2"/>
        <v>4</v>
      </c>
      <c r="K39">
        <f t="shared" si="2"/>
        <v>22</v>
      </c>
      <c r="L39">
        <f t="shared" si="2"/>
        <v>66</v>
      </c>
      <c r="M39">
        <f t="shared" si="2"/>
        <v>14</v>
      </c>
      <c r="N39">
        <f t="shared" si="2"/>
        <v>2</v>
      </c>
      <c r="O39">
        <f t="shared" si="3"/>
        <v>157</v>
      </c>
    </row>
    <row r="40" spans="1:15" x14ac:dyDescent="0.4">
      <c r="A40" s="10" t="s">
        <v>10</v>
      </c>
      <c r="B40" s="6">
        <v>7</v>
      </c>
      <c r="C40">
        <f t="shared" si="2"/>
        <v>1</v>
      </c>
      <c r="D40">
        <f t="shared" si="2"/>
        <v>2</v>
      </c>
      <c r="E40">
        <f t="shared" si="2"/>
        <v>14</v>
      </c>
      <c r="F40">
        <f t="shared" si="2"/>
        <v>24</v>
      </c>
      <c r="G40">
        <f t="shared" si="2"/>
        <v>4</v>
      </c>
      <c r="H40">
        <f t="shared" si="2"/>
        <v>2</v>
      </c>
      <c r="I40">
        <f t="shared" si="2"/>
        <v>2</v>
      </c>
      <c r="J40">
        <f t="shared" si="2"/>
        <v>4</v>
      </c>
      <c r="K40">
        <f t="shared" si="2"/>
        <v>22</v>
      </c>
      <c r="L40">
        <f t="shared" si="2"/>
        <v>66</v>
      </c>
      <c r="M40">
        <f t="shared" si="2"/>
        <v>14</v>
      </c>
      <c r="N40">
        <f t="shared" si="2"/>
        <v>2</v>
      </c>
      <c r="O40">
        <f t="shared" si="3"/>
        <v>157</v>
      </c>
    </row>
    <row r="41" spans="1:15" x14ac:dyDescent="0.4">
      <c r="A41" s="9" t="s">
        <v>63</v>
      </c>
      <c r="B41" s="9">
        <v>29</v>
      </c>
      <c r="C41">
        <f t="shared" ref="C41:N41" si="4">SUM(C30:C40)</f>
        <v>7</v>
      </c>
      <c r="D41">
        <f t="shared" si="4"/>
        <v>10</v>
      </c>
      <c r="E41">
        <f t="shared" si="4"/>
        <v>58</v>
      </c>
      <c r="F41">
        <f t="shared" si="4"/>
        <v>100</v>
      </c>
      <c r="G41">
        <f t="shared" si="4"/>
        <v>18</v>
      </c>
      <c r="H41">
        <f t="shared" si="4"/>
        <v>10</v>
      </c>
      <c r="I41">
        <f t="shared" si="4"/>
        <v>10</v>
      </c>
      <c r="J41">
        <f t="shared" si="4"/>
        <v>18</v>
      </c>
      <c r="K41">
        <f t="shared" si="4"/>
        <v>94</v>
      </c>
      <c r="L41">
        <f t="shared" si="4"/>
        <v>276</v>
      </c>
      <c r="M41">
        <f t="shared" si="4"/>
        <v>58</v>
      </c>
      <c r="N41">
        <f t="shared" si="4"/>
        <v>10</v>
      </c>
      <c r="O41">
        <f t="shared" si="3"/>
        <v>669</v>
      </c>
    </row>
  </sheetData>
  <mergeCells count="1">
    <mergeCell ref="B1:O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98D04C-C166-4BAF-A991-394409278EB9}">
  <dimension ref="A1:P12"/>
  <sheetViews>
    <sheetView tabSelected="1" workbookViewId="0">
      <selection activeCell="F6" sqref="F6"/>
    </sheetView>
  </sheetViews>
  <sheetFormatPr defaultRowHeight="16" x14ac:dyDescent="0.4"/>
  <sheetData>
    <row r="1" spans="1:16" x14ac:dyDescent="0.4">
      <c r="A1" t="s">
        <v>0</v>
      </c>
      <c r="B1" t="s">
        <v>11</v>
      </c>
      <c r="C1" t="s">
        <v>65</v>
      </c>
      <c r="D1" t="s">
        <v>66</v>
      </c>
      <c r="E1" t="s">
        <v>67</v>
      </c>
      <c r="F1" t="s">
        <v>55</v>
      </c>
      <c r="G1" t="s">
        <v>56</v>
      </c>
      <c r="H1" t="s">
        <v>57</v>
      </c>
      <c r="I1" t="s">
        <v>58</v>
      </c>
      <c r="J1" t="s">
        <v>59</v>
      </c>
      <c r="K1" t="s">
        <v>60</v>
      </c>
      <c r="L1" t="s">
        <v>68</v>
      </c>
      <c r="M1" t="s">
        <v>69</v>
      </c>
      <c r="N1" t="s">
        <v>70</v>
      </c>
      <c r="O1" t="s">
        <v>71</v>
      </c>
      <c r="P1" t="s">
        <v>12</v>
      </c>
    </row>
    <row r="2" spans="1:16" x14ac:dyDescent="0.4">
      <c r="A2" t="s">
        <v>33</v>
      </c>
      <c r="B2">
        <v>1920</v>
      </c>
      <c r="C2">
        <v>13</v>
      </c>
      <c r="D2">
        <v>1</v>
      </c>
      <c r="E2">
        <v>0</v>
      </c>
      <c r="F2">
        <v>20</v>
      </c>
      <c r="G2">
        <v>0</v>
      </c>
      <c r="H2">
        <v>0</v>
      </c>
      <c r="I2">
        <v>15</v>
      </c>
      <c r="J2">
        <v>5</v>
      </c>
      <c r="K2">
        <v>10</v>
      </c>
      <c r="L2">
        <v>3</v>
      </c>
      <c r="M2">
        <v>1</v>
      </c>
      <c r="N2">
        <v>0</v>
      </c>
      <c r="O2">
        <v>0</v>
      </c>
      <c r="P2" t="s">
        <v>61</v>
      </c>
    </row>
    <row r="3" spans="1:16" x14ac:dyDescent="0.4">
      <c r="A3" t="s">
        <v>1</v>
      </c>
      <c r="B3">
        <v>2093</v>
      </c>
      <c r="C3">
        <v>1</v>
      </c>
      <c r="D3">
        <v>0</v>
      </c>
      <c r="E3">
        <v>0</v>
      </c>
      <c r="F3">
        <v>3</v>
      </c>
      <c r="G3">
        <v>0</v>
      </c>
      <c r="H3">
        <v>0</v>
      </c>
      <c r="I3">
        <v>0</v>
      </c>
      <c r="J3">
        <v>0</v>
      </c>
      <c r="K3">
        <v>0</v>
      </c>
      <c r="L3">
        <v>0.25</v>
      </c>
      <c r="M3">
        <v>0.25</v>
      </c>
      <c r="N3">
        <v>0</v>
      </c>
      <c r="O3">
        <v>0</v>
      </c>
      <c r="P3" t="s">
        <v>61</v>
      </c>
    </row>
    <row r="4" spans="1:16" x14ac:dyDescent="0.4">
      <c r="A4" t="s">
        <v>2</v>
      </c>
      <c r="B4">
        <v>2415</v>
      </c>
      <c r="C4">
        <v>4</v>
      </c>
      <c r="D4">
        <v>0</v>
      </c>
      <c r="E4">
        <v>0</v>
      </c>
      <c r="F4">
        <v>8</v>
      </c>
      <c r="G4">
        <v>0</v>
      </c>
      <c r="H4">
        <v>0</v>
      </c>
      <c r="I4">
        <v>0</v>
      </c>
      <c r="J4">
        <v>0</v>
      </c>
      <c r="K4">
        <v>0</v>
      </c>
      <c r="L4">
        <v>1</v>
      </c>
      <c r="M4">
        <v>0.5</v>
      </c>
      <c r="N4">
        <v>0</v>
      </c>
      <c r="O4">
        <v>0</v>
      </c>
      <c r="P4" t="s">
        <v>61</v>
      </c>
    </row>
    <row r="5" spans="1:16" x14ac:dyDescent="0.4">
      <c r="A5" t="s">
        <v>3</v>
      </c>
      <c r="B5">
        <v>2385</v>
      </c>
      <c r="C5">
        <v>0</v>
      </c>
      <c r="D5">
        <v>1</v>
      </c>
      <c r="E5">
        <v>0</v>
      </c>
      <c r="F5">
        <v>2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0.25</v>
      </c>
      <c r="N5">
        <v>0.25</v>
      </c>
      <c r="O5">
        <v>0</v>
      </c>
      <c r="P5" t="s">
        <v>61</v>
      </c>
    </row>
    <row r="6" spans="1:16" x14ac:dyDescent="0.4">
      <c r="A6" t="s">
        <v>4</v>
      </c>
      <c r="B6">
        <v>2810</v>
      </c>
      <c r="C6">
        <v>1</v>
      </c>
      <c r="D6">
        <v>0</v>
      </c>
      <c r="E6">
        <v>0</v>
      </c>
      <c r="F6">
        <v>3</v>
      </c>
      <c r="G6">
        <v>0</v>
      </c>
      <c r="H6">
        <v>0</v>
      </c>
      <c r="I6">
        <v>0</v>
      </c>
      <c r="J6">
        <v>0</v>
      </c>
      <c r="K6">
        <v>0</v>
      </c>
      <c r="L6">
        <v>0.2</v>
      </c>
      <c r="M6">
        <v>0.1</v>
      </c>
      <c r="N6">
        <v>0.1</v>
      </c>
      <c r="O6">
        <v>0</v>
      </c>
      <c r="P6" t="s">
        <v>61</v>
      </c>
    </row>
    <row r="7" spans="1:16" x14ac:dyDescent="0.4">
      <c r="A7" t="s">
        <v>5</v>
      </c>
      <c r="B7">
        <v>2735</v>
      </c>
      <c r="C7">
        <v>18</v>
      </c>
      <c r="D7">
        <v>3</v>
      </c>
      <c r="E7">
        <v>1</v>
      </c>
      <c r="F7">
        <v>65</v>
      </c>
      <c r="G7">
        <v>22</v>
      </c>
      <c r="H7">
        <v>200</v>
      </c>
      <c r="I7">
        <v>30</v>
      </c>
      <c r="J7">
        <v>0</v>
      </c>
      <c r="K7">
        <v>0</v>
      </c>
      <c r="L7">
        <v>4</v>
      </c>
      <c r="M7">
        <v>0</v>
      </c>
      <c r="N7">
        <v>2</v>
      </c>
      <c r="O7">
        <v>2</v>
      </c>
      <c r="P7" t="s">
        <v>61</v>
      </c>
    </row>
    <row r="8" spans="1:16" x14ac:dyDescent="0.4">
      <c r="A8" t="s">
        <v>6</v>
      </c>
      <c r="B8">
        <v>3256</v>
      </c>
      <c r="C8">
        <v>14</v>
      </c>
      <c r="D8">
        <v>3</v>
      </c>
      <c r="E8">
        <v>0</v>
      </c>
      <c r="F8">
        <v>72</v>
      </c>
      <c r="G8">
        <v>4</v>
      </c>
      <c r="H8">
        <v>0</v>
      </c>
      <c r="I8">
        <v>0</v>
      </c>
      <c r="J8">
        <v>0</v>
      </c>
      <c r="K8">
        <v>0</v>
      </c>
      <c r="L8">
        <v>4.5</v>
      </c>
      <c r="M8">
        <v>0</v>
      </c>
      <c r="N8">
        <v>0</v>
      </c>
      <c r="O8">
        <v>0</v>
      </c>
      <c r="P8" t="s">
        <v>61</v>
      </c>
    </row>
    <row r="9" spans="1:16" x14ac:dyDescent="0.4">
      <c r="A9" t="s">
        <v>7</v>
      </c>
      <c r="B9">
        <v>3418</v>
      </c>
      <c r="C9">
        <v>32</v>
      </c>
      <c r="D9">
        <v>7</v>
      </c>
      <c r="E9">
        <v>1</v>
      </c>
      <c r="F9">
        <v>120</v>
      </c>
      <c r="G9">
        <v>17</v>
      </c>
      <c r="H9">
        <v>150</v>
      </c>
      <c r="I9">
        <v>15</v>
      </c>
      <c r="J9">
        <v>0</v>
      </c>
      <c r="K9">
        <v>0</v>
      </c>
      <c r="L9">
        <v>2.5</v>
      </c>
      <c r="M9">
        <v>0</v>
      </c>
      <c r="N9">
        <v>0</v>
      </c>
      <c r="O9">
        <v>2</v>
      </c>
      <c r="P9" t="s">
        <v>62</v>
      </c>
    </row>
    <row r="10" spans="1:16" x14ac:dyDescent="0.4">
      <c r="A10" t="s">
        <v>8</v>
      </c>
      <c r="B10">
        <v>4105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0.5</v>
      </c>
      <c r="M10">
        <v>0</v>
      </c>
      <c r="N10">
        <v>0</v>
      </c>
      <c r="O10">
        <v>0</v>
      </c>
      <c r="P10" t="s">
        <v>61</v>
      </c>
    </row>
    <row r="11" spans="1:16" x14ac:dyDescent="0.4">
      <c r="A11" t="s">
        <v>9</v>
      </c>
      <c r="B11">
        <v>4097</v>
      </c>
      <c r="C11">
        <v>12</v>
      </c>
      <c r="D11">
        <v>7</v>
      </c>
      <c r="E11">
        <v>0</v>
      </c>
      <c r="F11">
        <v>15</v>
      </c>
      <c r="G11">
        <v>10</v>
      </c>
      <c r="H11">
        <v>10</v>
      </c>
      <c r="I11">
        <v>0</v>
      </c>
      <c r="J11">
        <v>0</v>
      </c>
      <c r="K11">
        <v>0</v>
      </c>
      <c r="L11">
        <v>1</v>
      </c>
      <c r="M11">
        <v>0</v>
      </c>
      <c r="N11">
        <v>0</v>
      </c>
      <c r="O11">
        <v>0</v>
      </c>
      <c r="P11" t="s">
        <v>61</v>
      </c>
    </row>
    <row r="12" spans="1:16" x14ac:dyDescent="0.4">
      <c r="A12" t="s">
        <v>10</v>
      </c>
      <c r="B12">
        <v>4770</v>
      </c>
      <c r="C12">
        <v>0</v>
      </c>
      <c r="D12">
        <v>7</v>
      </c>
      <c r="E12">
        <v>0</v>
      </c>
      <c r="F12">
        <v>10</v>
      </c>
      <c r="G12">
        <v>0</v>
      </c>
      <c r="H12">
        <v>25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 t="s">
        <v>64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9789E3-ACC9-4B42-A867-CF3E11D03B7D}">
  <dimension ref="A1:N12"/>
  <sheetViews>
    <sheetView workbookViewId="0">
      <selection sqref="A1:N12"/>
    </sheetView>
  </sheetViews>
  <sheetFormatPr defaultRowHeight="16" x14ac:dyDescent="0.4"/>
  <sheetData>
    <row r="1" spans="1:14" x14ac:dyDescent="0.4">
      <c r="A1" t="s">
        <v>0</v>
      </c>
      <c r="B1" t="s">
        <v>54</v>
      </c>
      <c r="C1" t="s">
        <v>36</v>
      </c>
      <c r="D1" t="s">
        <v>37</v>
      </c>
      <c r="E1" t="s">
        <v>38</v>
      </c>
      <c r="F1" t="s">
        <v>39</v>
      </c>
      <c r="G1" t="s">
        <v>40</v>
      </c>
      <c r="H1" t="s">
        <v>41</v>
      </c>
      <c r="I1" t="s">
        <v>42</v>
      </c>
      <c r="J1" t="s">
        <v>43</v>
      </c>
      <c r="K1" t="s">
        <v>44</v>
      </c>
      <c r="L1" t="s">
        <v>45</v>
      </c>
      <c r="M1" t="s">
        <v>46</v>
      </c>
      <c r="N1" t="s">
        <v>47</v>
      </c>
    </row>
    <row r="2" spans="1:14" x14ac:dyDescent="0.4">
      <c r="A2" t="s">
        <v>33</v>
      </c>
      <c r="B2">
        <v>1</v>
      </c>
      <c r="C2">
        <v>1</v>
      </c>
      <c r="D2">
        <v>1</v>
      </c>
      <c r="E2">
        <v>2</v>
      </c>
      <c r="F2">
        <v>4</v>
      </c>
      <c r="G2">
        <v>1</v>
      </c>
      <c r="H2">
        <v>1</v>
      </c>
      <c r="I2">
        <v>1</v>
      </c>
      <c r="J2">
        <v>1</v>
      </c>
      <c r="K2">
        <v>4</v>
      </c>
      <c r="L2">
        <v>10</v>
      </c>
      <c r="M2">
        <v>2</v>
      </c>
      <c r="N2">
        <v>1</v>
      </c>
    </row>
    <row r="3" spans="1:14" x14ac:dyDescent="0.4">
      <c r="A3" t="s">
        <v>1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</row>
    <row r="4" spans="1:14" x14ac:dyDescent="0.4">
      <c r="A4" t="s">
        <v>2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</row>
    <row r="5" spans="1:14" x14ac:dyDescent="0.4">
      <c r="A5" t="s">
        <v>3</v>
      </c>
      <c r="B5">
        <v>1</v>
      </c>
      <c r="C5">
        <v>1</v>
      </c>
      <c r="D5">
        <v>1</v>
      </c>
      <c r="E5">
        <v>2</v>
      </c>
      <c r="F5">
        <v>4</v>
      </c>
      <c r="G5">
        <v>1</v>
      </c>
      <c r="H5">
        <v>1</v>
      </c>
      <c r="I5">
        <v>1</v>
      </c>
      <c r="J5">
        <v>1</v>
      </c>
      <c r="K5">
        <v>4</v>
      </c>
      <c r="L5">
        <v>10</v>
      </c>
      <c r="M5">
        <v>2</v>
      </c>
      <c r="N5">
        <v>1</v>
      </c>
    </row>
    <row r="6" spans="1:14" x14ac:dyDescent="0.4">
      <c r="A6" t="s">
        <v>4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</row>
    <row r="7" spans="1:14" x14ac:dyDescent="0.4">
      <c r="A7" t="s">
        <v>5</v>
      </c>
      <c r="B7">
        <v>3</v>
      </c>
      <c r="C7">
        <v>1</v>
      </c>
      <c r="D7">
        <v>1</v>
      </c>
      <c r="E7">
        <v>6</v>
      </c>
      <c r="F7">
        <v>10</v>
      </c>
      <c r="G7">
        <v>2</v>
      </c>
      <c r="H7">
        <v>1</v>
      </c>
      <c r="I7">
        <v>1</v>
      </c>
      <c r="J7">
        <v>2</v>
      </c>
      <c r="K7">
        <v>10</v>
      </c>
      <c r="L7">
        <v>29</v>
      </c>
      <c r="M7">
        <v>6</v>
      </c>
      <c r="N7">
        <v>1</v>
      </c>
    </row>
    <row r="8" spans="1:14" x14ac:dyDescent="0.4">
      <c r="A8" t="s">
        <v>6</v>
      </c>
      <c r="B8">
        <v>3</v>
      </c>
      <c r="C8">
        <v>1</v>
      </c>
      <c r="D8">
        <v>1</v>
      </c>
      <c r="E8">
        <v>6</v>
      </c>
      <c r="F8">
        <v>10</v>
      </c>
      <c r="G8">
        <v>2</v>
      </c>
      <c r="H8">
        <v>1</v>
      </c>
      <c r="I8">
        <v>1</v>
      </c>
      <c r="J8">
        <v>2</v>
      </c>
      <c r="K8">
        <v>10</v>
      </c>
      <c r="L8">
        <v>29</v>
      </c>
      <c r="M8">
        <v>6</v>
      </c>
      <c r="N8">
        <v>1</v>
      </c>
    </row>
    <row r="9" spans="1:14" x14ac:dyDescent="0.4">
      <c r="A9" t="s">
        <v>7</v>
      </c>
      <c r="B9">
        <v>7</v>
      </c>
      <c r="C9">
        <v>1</v>
      </c>
      <c r="D9">
        <v>2</v>
      </c>
      <c r="E9">
        <v>14</v>
      </c>
      <c r="F9">
        <v>24</v>
      </c>
      <c r="G9">
        <v>4</v>
      </c>
      <c r="H9">
        <v>2</v>
      </c>
      <c r="I9">
        <v>2</v>
      </c>
      <c r="J9">
        <v>4</v>
      </c>
      <c r="K9">
        <v>22</v>
      </c>
      <c r="L9">
        <v>66</v>
      </c>
      <c r="M9">
        <v>14</v>
      </c>
      <c r="N9">
        <v>2</v>
      </c>
    </row>
    <row r="10" spans="1:14" x14ac:dyDescent="0.4">
      <c r="A10" t="s">
        <v>8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</row>
    <row r="11" spans="1:14" x14ac:dyDescent="0.4">
      <c r="A11" t="s">
        <v>9</v>
      </c>
      <c r="B11">
        <v>7</v>
      </c>
      <c r="C11">
        <v>1</v>
      </c>
      <c r="D11">
        <v>2</v>
      </c>
      <c r="E11">
        <v>14</v>
      </c>
      <c r="F11">
        <v>24</v>
      </c>
      <c r="G11">
        <v>4</v>
      </c>
      <c r="H11">
        <v>2</v>
      </c>
      <c r="I11">
        <v>2</v>
      </c>
      <c r="J11">
        <v>4</v>
      </c>
      <c r="K11">
        <v>22</v>
      </c>
      <c r="L11">
        <v>66</v>
      </c>
      <c r="M11">
        <v>14</v>
      </c>
      <c r="N11">
        <v>2</v>
      </c>
    </row>
    <row r="12" spans="1:14" x14ac:dyDescent="0.4">
      <c r="A12" t="s">
        <v>10</v>
      </c>
      <c r="B12">
        <v>7</v>
      </c>
      <c r="C12">
        <v>1</v>
      </c>
      <c r="D12">
        <v>2</v>
      </c>
      <c r="E12">
        <v>14</v>
      </c>
      <c r="F12">
        <v>24</v>
      </c>
      <c r="G12">
        <v>4</v>
      </c>
      <c r="H12">
        <v>2</v>
      </c>
      <c r="I12">
        <v>2</v>
      </c>
      <c r="J12">
        <v>4</v>
      </c>
      <c r="K12">
        <v>22</v>
      </c>
      <c r="L12">
        <v>66</v>
      </c>
      <c r="M12">
        <v>14</v>
      </c>
      <c r="N12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Raw Data</vt:lpstr>
      <vt:lpstr>Tourists Flow</vt:lpstr>
      <vt:lpstr>CSV-Settlements</vt:lpstr>
      <vt:lpstr>CSV-tourist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Anuj Chaulagain</dc:creator>
  <cp:lastModifiedBy>Sanjeev Bashyal</cp:lastModifiedBy>
  <dcterms:created xsi:type="dcterms:W3CDTF">2025-06-27T13:23:03Z</dcterms:created>
  <dcterms:modified xsi:type="dcterms:W3CDTF">2025-12-06T03:36:20Z</dcterms:modified>
</cp:coreProperties>
</file>